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ise\Desktop\Grupo Vial\Estacionamientos - P.Perro - Centenario -\Análisis 11 dic 2025\enviar a aleja 13 dic\"/>
    </mc:Choice>
  </mc:AlternateContent>
  <xr:revisionPtr revIDLastSave="0" documentId="13_ncr:1_{BAC5C544-BE70-4999-BFE2-AB1D9C94D3E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BD" sheetId="9" r:id="rId1"/>
  </sheets>
  <definedNames>
    <definedName name="_xlnm._FilterDatabase" localSheetId="0" hidden="1">BD!$A$1:$AK$238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87" i="9" l="1"/>
  <c r="Y187" i="9" s="1"/>
  <c r="W188" i="9"/>
  <c r="Y188" i="9" s="1"/>
  <c r="W189" i="9"/>
  <c r="Y189" i="9" s="1"/>
  <c r="W190" i="9"/>
  <c r="Y190" i="9" s="1"/>
  <c r="W191" i="9"/>
  <c r="Y191" i="9" s="1"/>
  <c r="W192" i="9"/>
  <c r="Y192" i="9" s="1"/>
  <c r="W193" i="9"/>
  <c r="Y193" i="9" s="1"/>
  <c r="W194" i="9"/>
  <c r="Y194" i="9" s="1"/>
  <c r="W195" i="9"/>
  <c r="Y195" i="9" s="1"/>
  <c r="W196" i="9"/>
  <c r="Y196" i="9" s="1"/>
  <c r="W197" i="9"/>
  <c r="Y197" i="9" s="1"/>
  <c r="W198" i="9"/>
  <c r="Y198" i="9" s="1"/>
  <c r="W199" i="9"/>
  <c r="Y199" i="9" s="1"/>
  <c r="W200" i="9"/>
  <c r="Y200" i="9" s="1"/>
  <c r="W201" i="9"/>
  <c r="Y201" i="9" s="1"/>
  <c r="W202" i="9"/>
  <c r="Y202" i="9" s="1"/>
  <c r="W203" i="9"/>
  <c r="Y203" i="9" s="1"/>
  <c r="W204" i="9"/>
  <c r="Y204" i="9" s="1"/>
  <c r="W205" i="9"/>
  <c r="Y205" i="9" s="1"/>
  <c r="W206" i="9"/>
  <c r="Y206" i="9" s="1"/>
  <c r="W207" i="9"/>
  <c r="Y207" i="9" s="1"/>
  <c r="W208" i="9"/>
  <c r="Y208" i="9" s="1"/>
  <c r="W209" i="9"/>
  <c r="Y209" i="9" s="1"/>
  <c r="W210" i="9"/>
  <c r="Y210" i="9" s="1"/>
  <c r="W211" i="9"/>
  <c r="Y211" i="9" s="1"/>
  <c r="W212" i="9"/>
  <c r="Y212" i="9" s="1"/>
  <c r="W213" i="9"/>
  <c r="Y213" i="9" s="1"/>
  <c r="W214" i="9"/>
  <c r="Y214" i="9" s="1"/>
  <c r="W215" i="9"/>
  <c r="Y215" i="9" s="1"/>
  <c r="W216" i="9"/>
  <c r="Y216" i="9" s="1"/>
  <c r="W217" i="9"/>
  <c r="Y217" i="9" s="1"/>
  <c r="W218" i="9"/>
  <c r="Y218" i="9" s="1"/>
  <c r="W219" i="9"/>
  <c r="Y219" i="9" s="1"/>
  <c r="W220" i="9"/>
  <c r="Y220" i="9" s="1"/>
  <c r="W221" i="9"/>
  <c r="Y221" i="9" s="1"/>
  <c r="W222" i="9"/>
  <c r="Y222" i="9" s="1"/>
  <c r="W223" i="9"/>
  <c r="Y223" i="9" s="1"/>
  <c r="W224" i="9"/>
  <c r="Y224" i="9" s="1"/>
  <c r="W225" i="9"/>
  <c r="Y225" i="9" s="1"/>
  <c r="W226" i="9"/>
  <c r="Y226" i="9" s="1"/>
  <c r="W227" i="9"/>
  <c r="Y227" i="9" s="1"/>
  <c r="W228" i="9"/>
  <c r="Y228" i="9" s="1"/>
  <c r="W229" i="9"/>
  <c r="Y229" i="9" s="1"/>
  <c r="W230" i="9"/>
  <c r="Y230" i="9" s="1"/>
  <c r="W231" i="9"/>
  <c r="Y231" i="9" s="1"/>
  <c r="W232" i="9"/>
  <c r="Y232" i="9" s="1"/>
  <c r="W233" i="9"/>
  <c r="Y233" i="9" s="1"/>
  <c r="W234" i="9"/>
  <c r="Y234" i="9" s="1"/>
  <c r="W235" i="9"/>
  <c r="Y235" i="9" s="1"/>
  <c r="W236" i="9"/>
  <c r="Y236" i="9" s="1"/>
  <c r="W237" i="9"/>
  <c r="Y237" i="9" s="1"/>
  <c r="W238" i="9"/>
  <c r="Y238" i="9" s="1"/>
  <c r="W186" i="9"/>
  <c r="Y186" i="9" s="1"/>
  <c r="W185" i="9"/>
  <c r="Y185" i="9" s="1"/>
  <c r="W184" i="9"/>
  <c r="Y184" i="9" s="1"/>
  <c r="W183" i="9"/>
  <c r="Y183" i="9" s="1"/>
  <c r="W182" i="9"/>
  <c r="Y182" i="9" s="1"/>
  <c r="W181" i="9"/>
  <c r="Y181" i="9" s="1"/>
  <c r="W180" i="9"/>
  <c r="Y180" i="9" s="1"/>
  <c r="W179" i="9"/>
  <c r="Y179" i="9" s="1"/>
  <c r="W178" i="9"/>
  <c r="Y178" i="9" s="1"/>
  <c r="W177" i="9"/>
  <c r="Y177" i="9" s="1"/>
  <c r="W176" i="9"/>
  <c r="Y176" i="9" s="1"/>
  <c r="W175" i="9"/>
  <c r="Y175" i="9" s="1"/>
  <c r="W174" i="9"/>
  <c r="Y174" i="9" s="1"/>
  <c r="W173" i="9"/>
  <c r="Y173" i="9" s="1"/>
  <c r="W172" i="9"/>
  <c r="Y172" i="9" s="1"/>
  <c r="W171" i="9"/>
  <c r="Y171" i="9" s="1"/>
  <c r="W170" i="9"/>
  <c r="Y170" i="9" s="1"/>
  <c r="W169" i="9"/>
  <c r="Y169" i="9" s="1"/>
  <c r="AI6" i="9"/>
  <c r="AI8" i="9" s="1"/>
  <c r="W168" i="9"/>
  <c r="Y168" i="9" s="1"/>
  <c r="W167" i="9"/>
  <c r="Y167" i="9" s="1"/>
  <c r="W166" i="9"/>
  <c r="Y166" i="9" s="1"/>
  <c r="W165" i="9"/>
  <c r="Y165" i="9" s="1"/>
  <c r="W164" i="9"/>
  <c r="Y164" i="9" s="1"/>
  <c r="W163" i="9"/>
  <c r="Y163" i="9" s="1"/>
  <c r="W162" i="9"/>
  <c r="Y162" i="9" s="1"/>
  <c r="W161" i="9"/>
  <c r="Y161" i="9" s="1"/>
  <c r="W160" i="9"/>
  <c r="Y160" i="9" s="1"/>
  <c r="W159" i="9"/>
  <c r="Y159" i="9" s="1"/>
  <c r="W158" i="9"/>
  <c r="Y158" i="9" s="1"/>
  <c r="W157" i="9"/>
  <c r="Y157" i="9" s="1"/>
  <c r="W156" i="9"/>
  <c r="Y156" i="9" s="1"/>
  <c r="W155" i="9"/>
  <c r="Y155" i="9" s="1"/>
  <c r="W154" i="9"/>
  <c r="Y154" i="9" s="1"/>
  <c r="W153" i="9"/>
  <c r="Y153" i="9" s="1"/>
  <c r="W152" i="9"/>
  <c r="Y152" i="9" s="1"/>
  <c r="W151" i="9"/>
  <c r="Y151" i="9" s="1"/>
  <c r="W150" i="9"/>
  <c r="Y150" i="9" s="1"/>
  <c r="W149" i="9"/>
  <c r="Y149" i="9" s="1"/>
  <c r="W148" i="9"/>
  <c r="Y148" i="9" s="1"/>
  <c r="W147" i="9"/>
  <c r="Y147" i="9" s="1"/>
  <c r="W146" i="9"/>
  <c r="Y146" i="9" s="1"/>
  <c r="W145" i="9"/>
  <c r="Y145" i="9" s="1"/>
  <c r="W144" i="9"/>
  <c r="Y144" i="9" s="1"/>
  <c r="W143" i="9"/>
  <c r="Y143" i="9" s="1"/>
  <c r="W142" i="9"/>
  <c r="Y142" i="9" s="1"/>
  <c r="W141" i="9"/>
  <c r="Y141" i="9" s="1"/>
  <c r="W140" i="9"/>
  <c r="Y140" i="9" s="1"/>
  <c r="W139" i="9"/>
  <c r="Y139" i="9" s="1"/>
  <c r="W138" i="9"/>
  <c r="Y138" i="9" s="1"/>
  <c r="W137" i="9"/>
  <c r="Y137" i="9" s="1"/>
  <c r="W136" i="9"/>
  <c r="Y136" i="9" s="1"/>
  <c r="W135" i="9"/>
  <c r="Y135" i="9" s="1"/>
  <c r="W134" i="9"/>
  <c r="Y134" i="9" s="1"/>
  <c r="W133" i="9"/>
  <c r="Y133" i="9" s="1"/>
  <c r="W132" i="9"/>
  <c r="Y132" i="9" s="1"/>
  <c r="W131" i="9"/>
  <c r="Y131" i="9" s="1"/>
  <c r="W130" i="9"/>
  <c r="Y130" i="9" s="1"/>
  <c r="W129" i="9"/>
  <c r="Y129" i="9" s="1"/>
  <c r="W128" i="9"/>
  <c r="Y128" i="9" s="1"/>
  <c r="W127" i="9"/>
  <c r="Y127" i="9" s="1"/>
  <c r="W126" i="9"/>
  <c r="Y126" i="9" s="1"/>
  <c r="W125" i="9"/>
  <c r="Y125" i="9" s="1"/>
  <c r="W124" i="9"/>
  <c r="Y124" i="9" s="1"/>
  <c r="W123" i="9"/>
  <c r="Y123" i="9" s="1"/>
  <c r="W122" i="9"/>
  <c r="Y122" i="9" s="1"/>
  <c r="W121" i="9"/>
  <c r="Y121" i="9" s="1"/>
  <c r="W120" i="9"/>
  <c r="Y120" i="9" s="1"/>
  <c r="W119" i="9"/>
  <c r="Y119" i="9" s="1"/>
  <c r="W118" i="9"/>
  <c r="Y118" i="9" s="1"/>
  <c r="W117" i="9"/>
  <c r="Y117" i="9" s="1"/>
  <c r="Z117" i="9" s="1"/>
  <c r="W116" i="9"/>
  <c r="Y116" i="9" s="1"/>
  <c r="W115" i="9"/>
  <c r="Y115" i="9" s="1"/>
  <c r="W114" i="9"/>
  <c r="Y114" i="9" s="1"/>
  <c r="W113" i="9"/>
  <c r="Y113" i="9" s="1"/>
  <c r="W112" i="9"/>
  <c r="Y112" i="9" s="1"/>
  <c r="W111" i="9"/>
  <c r="Y111" i="9" s="1"/>
  <c r="W110" i="9"/>
  <c r="Y110" i="9" s="1"/>
  <c r="W109" i="9"/>
  <c r="Y109" i="9" s="1"/>
  <c r="W108" i="9"/>
  <c r="Y108" i="9" s="1"/>
  <c r="W107" i="9"/>
  <c r="Y107" i="9" s="1"/>
  <c r="W106" i="9"/>
  <c r="Y106" i="9" s="1"/>
  <c r="W105" i="9"/>
  <c r="Y105" i="9" s="1"/>
  <c r="W104" i="9"/>
  <c r="Y104" i="9" s="1"/>
  <c r="W103" i="9"/>
  <c r="Y103" i="9" s="1"/>
  <c r="W102" i="9"/>
  <c r="Y102" i="9" s="1"/>
  <c r="W101" i="9"/>
  <c r="Y101" i="9" s="1"/>
  <c r="W100" i="9"/>
  <c r="Y100" i="9" s="1"/>
  <c r="W99" i="9"/>
  <c r="Y99" i="9" s="1"/>
  <c r="W98" i="9"/>
  <c r="Y98" i="9" s="1"/>
  <c r="W97" i="9"/>
  <c r="Y97" i="9" s="1"/>
  <c r="W96" i="9"/>
  <c r="Y96" i="9" s="1"/>
  <c r="W95" i="9"/>
  <c r="Y95" i="9" s="1"/>
  <c r="W94" i="9"/>
  <c r="Y94" i="9" s="1"/>
  <c r="W93" i="9"/>
  <c r="Y93" i="9" s="1"/>
  <c r="W92" i="9"/>
  <c r="Y92" i="9" s="1"/>
  <c r="W91" i="9"/>
  <c r="Y91" i="9" s="1"/>
  <c r="W90" i="9"/>
  <c r="Y90" i="9" s="1"/>
  <c r="W89" i="9"/>
  <c r="Y89" i="9" s="1"/>
  <c r="W88" i="9"/>
  <c r="Y88" i="9" s="1"/>
  <c r="W87" i="9"/>
  <c r="Y87" i="9" s="1"/>
  <c r="W86" i="9"/>
  <c r="Y86" i="9" s="1"/>
  <c r="W85" i="9"/>
  <c r="Y85" i="9" s="1"/>
  <c r="W84" i="9"/>
  <c r="Y84" i="9" s="1"/>
  <c r="W83" i="9"/>
  <c r="Y83" i="9" s="1"/>
  <c r="W82" i="9"/>
  <c r="Y82" i="9" s="1"/>
  <c r="W81" i="9"/>
  <c r="Y81" i="9" s="1"/>
  <c r="W80" i="9"/>
  <c r="Y80" i="9" s="1"/>
  <c r="W79" i="9"/>
  <c r="Y79" i="9" s="1"/>
  <c r="W78" i="9"/>
  <c r="Y78" i="9" s="1"/>
  <c r="W77" i="9"/>
  <c r="Y77" i="9" s="1"/>
  <c r="W76" i="9"/>
  <c r="Y76" i="9" s="1"/>
  <c r="W75" i="9"/>
  <c r="Y75" i="9" s="1"/>
  <c r="W74" i="9"/>
  <c r="Y74" i="9" s="1"/>
  <c r="W73" i="9"/>
  <c r="Y73" i="9" s="1"/>
  <c r="W72" i="9"/>
  <c r="Y72" i="9" s="1"/>
  <c r="W71" i="9"/>
  <c r="Y71" i="9" s="1"/>
  <c r="W70" i="9"/>
  <c r="Y70" i="9" s="1"/>
  <c r="W69" i="9"/>
  <c r="Y69" i="9" s="1"/>
  <c r="W68" i="9"/>
  <c r="Y68" i="9" s="1"/>
  <c r="W67" i="9"/>
  <c r="Y67" i="9" s="1"/>
  <c r="W66" i="9"/>
  <c r="Y66" i="9" s="1"/>
  <c r="W65" i="9"/>
  <c r="Y65" i="9" s="1"/>
  <c r="W64" i="9"/>
  <c r="Y64" i="9" s="1"/>
  <c r="W63" i="9"/>
  <c r="Y63" i="9" s="1"/>
  <c r="W62" i="9"/>
  <c r="Y62" i="9" s="1"/>
  <c r="W61" i="9"/>
  <c r="Y61" i="9" s="1"/>
  <c r="W60" i="9"/>
  <c r="Y60" i="9" s="1"/>
  <c r="W59" i="9"/>
  <c r="Y59" i="9" s="1"/>
  <c r="W58" i="9"/>
  <c r="Y58" i="9" s="1"/>
  <c r="W57" i="9"/>
  <c r="Y57" i="9" s="1"/>
  <c r="W56" i="9"/>
  <c r="Y56" i="9" s="1"/>
  <c r="W55" i="9"/>
  <c r="Y55" i="9" s="1"/>
  <c r="W54" i="9"/>
  <c r="Y54" i="9" s="1"/>
  <c r="W53" i="9"/>
  <c r="Y53" i="9" s="1"/>
  <c r="W52" i="9"/>
  <c r="Y52" i="9" s="1"/>
  <c r="W51" i="9"/>
  <c r="Y51" i="9" s="1"/>
  <c r="W50" i="9"/>
  <c r="Y50" i="9" s="1"/>
  <c r="W49" i="9"/>
  <c r="Y49" i="9" s="1"/>
  <c r="W48" i="9"/>
  <c r="Y48" i="9" s="1"/>
  <c r="W47" i="9"/>
  <c r="Y47" i="9" s="1"/>
  <c r="W46" i="9"/>
  <c r="Y46" i="9" s="1"/>
  <c r="W45" i="9"/>
  <c r="Y45" i="9" s="1"/>
  <c r="W44" i="9"/>
  <c r="Y44" i="9" s="1"/>
  <c r="W43" i="9"/>
  <c r="Y43" i="9" s="1"/>
  <c r="W42" i="9"/>
  <c r="Y42" i="9" s="1"/>
  <c r="W41" i="9"/>
  <c r="Y41" i="9" s="1"/>
  <c r="W40" i="9"/>
  <c r="Y40" i="9" s="1"/>
  <c r="W39" i="9"/>
  <c r="Y39" i="9" s="1"/>
  <c r="W38" i="9"/>
  <c r="Y38" i="9" s="1"/>
  <c r="W37" i="9"/>
  <c r="Y37" i="9" s="1"/>
  <c r="W36" i="9"/>
  <c r="Y36" i="9" s="1"/>
  <c r="W35" i="9"/>
  <c r="Y35" i="9" s="1"/>
  <c r="W34" i="9"/>
  <c r="Y34" i="9" s="1"/>
  <c r="W33" i="9"/>
  <c r="Y33" i="9" s="1"/>
  <c r="W32" i="9"/>
  <c r="Y32" i="9" s="1"/>
  <c r="W31" i="9"/>
  <c r="Y31" i="9" s="1"/>
  <c r="W30" i="9"/>
  <c r="Y30" i="9" s="1"/>
  <c r="W29" i="9"/>
  <c r="Y29" i="9" s="1"/>
  <c r="W28" i="9"/>
  <c r="Y28" i="9" s="1"/>
  <c r="W27" i="9"/>
  <c r="Y27" i="9" s="1"/>
  <c r="W26" i="9"/>
  <c r="Y26" i="9" s="1"/>
  <c r="W25" i="9"/>
  <c r="Y25" i="9" s="1"/>
  <c r="W24" i="9"/>
  <c r="Y24" i="9" s="1"/>
  <c r="W23" i="9"/>
  <c r="Y23" i="9" s="1"/>
  <c r="W22" i="9"/>
  <c r="Y22" i="9" s="1"/>
  <c r="W21" i="9"/>
  <c r="Y21" i="9" s="1"/>
  <c r="W20" i="9"/>
  <c r="Y20" i="9" s="1"/>
  <c r="W19" i="9"/>
  <c r="Y19" i="9" s="1"/>
  <c r="W18" i="9"/>
  <c r="Y18" i="9" s="1"/>
  <c r="W17" i="9"/>
  <c r="Y17" i="9" s="1"/>
  <c r="W16" i="9"/>
  <c r="Y16" i="9" s="1"/>
  <c r="W15" i="9"/>
  <c r="Y15" i="9" s="1"/>
  <c r="W14" i="9"/>
  <c r="Y14" i="9" s="1"/>
  <c r="W13" i="9"/>
  <c r="Y13" i="9" s="1"/>
  <c r="W12" i="9"/>
  <c r="Y12" i="9" s="1"/>
  <c r="W11" i="9"/>
  <c r="Y11" i="9" s="1"/>
  <c r="W10" i="9"/>
  <c r="Y10" i="9" s="1"/>
  <c r="W9" i="9"/>
  <c r="Y9" i="9" s="1"/>
  <c r="W8" i="9"/>
  <c r="Y8" i="9" s="1"/>
  <c r="W7" i="9"/>
  <c r="Y7" i="9" s="1"/>
  <c r="W6" i="9"/>
  <c r="Y6" i="9" s="1"/>
  <c r="W5" i="9"/>
  <c r="Y5" i="9" s="1"/>
  <c r="W4" i="9"/>
  <c r="Y4" i="9" s="1"/>
  <c r="W3" i="9"/>
  <c r="Y3" i="9" s="1"/>
  <c r="W2" i="9"/>
  <c r="Y2" i="9" s="1"/>
  <c r="Z106" i="9" l="1"/>
  <c r="AB106" i="9" s="1"/>
  <c r="Z122" i="9"/>
  <c r="AB122" i="9" s="1"/>
  <c r="Z123" i="9"/>
  <c r="Z109" i="9"/>
  <c r="AB109" i="9" s="1"/>
  <c r="Z110" i="9"/>
  <c r="AB110" i="9" s="1"/>
  <c r="Z111" i="9"/>
  <c r="AB111" i="9" s="1"/>
  <c r="Z113" i="9"/>
  <c r="Z115" i="9"/>
  <c r="AB115" i="9" s="1"/>
  <c r="Z147" i="9"/>
  <c r="AB147" i="9" s="1"/>
  <c r="Z116" i="9"/>
  <c r="Z118" i="9"/>
  <c r="AA118" i="9" s="1"/>
  <c r="AC118" i="9" s="1"/>
  <c r="Z228" i="9"/>
  <c r="AA228" i="9" s="1"/>
  <c r="Z187" i="9"/>
  <c r="Z188" i="9"/>
  <c r="Z189" i="9"/>
  <c r="Z190" i="9"/>
  <c r="Z191" i="9"/>
  <c r="Z192" i="9"/>
  <c r="Z193" i="9"/>
  <c r="Z194" i="9"/>
  <c r="Z195" i="9"/>
  <c r="Z196" i="9"/>
  <c r="Z197" i="9"/>
  <c r="Z198" i="9"/>
  <c r="Z199" i="9"/>
  <c r="Z200" i="9"/>
  <c r="Z201" i="9"/>
  <c r="Z202" i="9"/>
  <c r="AB202" i="9" s="1"/>
  <c r="AA202" i="9"/>
  <c r="AC202" i="9" s="1"/>
  <c r="AE202" i="9" s="1"/>
  <c r="Z203" i="9"/>
  <c r="AB203" i="9" s="1"/>
  <c r="Z204" i="9"/>
  <c r="Z205" i="9"/>
  <c r="AB205" i="9" s="1"/>
  <c r="Z206" i="9"/>
  <c r="Z207" i="9"/>
  <c r="Z208" i="9"/>
  <c r="Z209" i="9"/>
  <c r="AB209" i="9" s="1"/>
  <c r="AA209" i="9"/>
  <c r="AC209" i="9" s="1"/>
  <c r="AE209" i="9" s="1"/>
  <c r="Z210" i="9"/>
  <c r="Z211" i="9"/>
  <c r="Z212" i="9"/>
  <c r="Z213" i="9"/>
  <c r="Z214" i="9"/>
  <c r="Z215" i="9"/>
  <c r="Z216" i="9"/>
  <c r="Z217" i="9"/>
  <c r="Z218" i="9"/>
  <c r="AB218" i="9" s="1"/>
  <c r="Z219" i="9"/>
  <c r="Z220" i="9"/>
  <c r="Z221" i="9"/>
  <c r="AB221" i="9" s="1"/>
  <c r="Z222" i="9"/>
  <c r="AB222" i="9" s="1"/>
  <c r="Z223" i="9"/>
  <c r="Z224" i="9"/>
  <c r="Z225" i="9"/>
  <c r="Z226" i="9"/>
  <c r="AB226" i="9" s="1"/>
  <c r="Z227" i="9"/>
  <c r="Z229" i="9"/>
  <c r="Z230" i="9"/>
  <c r="AB230" i="9" s="1"/>
  <c r="AA230" i="9"/>
  <c r="AC230" i="9" s="1"/>
  <c r="AE230" i="9" s="1"/>
  <c r="Z231" i="9"/>
  <c r="Z232" i="9"/>
  <c r="Z233" i="9"/>
  <c r="AB233" i="9" s="1"/>
  <c r="Z234" i="9"/>
  <c r="Z235" i="9"/>
  <c r="Z236" i="9"/>
  <c r="Z237" i="9"/>
  <c r="AB237" i="9" s="1"/>
  <c r="AA237" i="9"/>
  <c r="AC237" i="9" s="1"/>
  <c r="AE237" i="9" s="1"/>
  <c r="Z238" i="9"/>
  <c r="Z172" i="9"/>
  <c r="Z173" i="9"/>
  <c r="Z180" i="9"/>
  <c r="AB180" i="9" s="1"/>
  <c r="Z22" i="9"/>
  <c r="Z43" i="9"/>
  <c r="Z59" i="9"/>
  <c r="AB59" i="9" s="1"/>
  <c r="Z57" i="9"/>
  <c r="Z53" i="9"/>
  <c r="AA53" i="9" s="1"/>
  <c r="AC53" i="9" s="1"/>
  <c r="Z37" i="9"/>
  <c r="AA37" i="9" s="1"/>
  <c r="AC37" i="9" s="1"/>
  <c r="Z33" i="9"/>
  <c r="Z11" i="9"/>
  <c r="Z170" i="9"/>
  <c r="Z3" i="9"/>
  <c r="Z56" i="9"/>
  <c r="Z41" i="9"/>
  <c r="Z40" i="9"/>
  <c r="Z36" i="9"/>
  <c r="AA36" i="9" s="1"/>
  <c r="AC36" i="9" s="1"/>
  <c r="Z32" i="9"/>
  <c r="Z31" i="9"/>
  <c r="Z28" i="9"/>
  <c r="Z27" i="9"/>
  <c r="Z19" i="9"/>
  <c r="Z14" i="9"/>
  <c r="Z9" i="9"/>
  <c r="Z8" i="9"/>
  <c r="Z4" i="9"/>
  <c r="Z30" i="9"/>
  <c r="Z26" i="9"/>
  <c r="Z21" i="9"/>
  <c r="Z12" i="9"/>
  <c r="Z10" i="9"/>
  <c r="AA10" i="9" s="1"/>
  <c r="AC10" i="9" s="1"/>
  <c r="Z165" i="9"/>
  <c r="Z163" i="9"/>
  <c r="Z162" i="9"/>
  <c r="Z161" i="9"/>
  <c r="Z160" i="9"/>
  <c r="Z159" i="9"/>
  <c r="Z158" i="9"/>
  <c r="Z157" i="9"/>
  <c r="Z156" i="9"/>
  <c r="Z155" i="9"/>
  <c r="Z154" i="9"/>
  <c r="Z153" i="9"/>
  <c r="Z152" i="9"/>
  <c r="Z150" i="9"/>
  <c r="Z149" i="9"/>
  <c r="Z148" i="9"/>
  <c r="Z62" i="9"/>
  <c r="Z61" i="9"/>
  <c r="Z58" i="9"/>
  <c r="Z52" i="9"/>
  <c r="Z46" i="9"/>
  <c r="Z45" i="9"/>
  <c r="Z42" i="9"/>
  <c r="Z35" i="9"/>
  <c r="Z34" i="9"/>
  <c r="Z29" i="9"/>
  <c r="Z25" i="9"/>
  <c r="Z20" i="9"/>
  <c r="Z18" i="9"/>
  <c r="Z15" i="9"/>
  <c r="Z13" i="9"/>
  <c r="Z146" i="9"/>
  <c r="Z145" i="9"/>
  <c r="AB145" i="9" s="1"/>
  <c r="Z144" i="9"/>
  <c r="Z143" i="9"/>
  <c r="Z142" i="9"/>
  <c r="Z141" i="9"/>
  <c r="Z140" i="9"/>
  <c r="Z139" i="9"/>
  <c r="Z138" i="9"/>
  <c r="Z137" i="9"/>
  <c r="Z136" i="9"/>
  <c r="Z134" i="9"/>
  <c r="Z133" i="9"/>
  <c r="Z132" i="9"/>
  <c r="Z131" i="9"/>
  <c r="Z130" i="9"/>
  <c r="Z129" i="9"/>
  <c r="Z128" i="9"/>
  <c r="Z125" i="9"/>
  <c r="Z51" i="9"/>
  <c r="Z47" i="9"/>
  <c r="Z38" i="9"/>
  <c r="Z126" i="9"/>
  <c r="Z105" i="9"/>
  <c r="Z104" i="9"/>
  <c r="Z102" i="9"/>
  <c r="Z101" i="9"/>
  <c r="Z100" i="9"/>
  <c r="Z99" i="9"/>
  <c r="Z98" i="9"/>
  <c r="Z97" i="9"/>
  <c r="Z96" i="9"/>
  <c r="Z95" i="9"/>
  <c r="Z94" i="9"/>
  <c r="Z93" i="9"/>
  <c r="Z92" i="9"/>
  <c r="Z91" i="9"/>
  <c r="Z90" i="9"/>
  <c r="Z89" i="9"/>
  <c r="Z88" i="9"/>
  <c r="Z84" i="9"/>
  <c r="Z83" i="9"/>
  <c r="Z82" i="9"/>
  <c r="Z81" i="9"/>
  <c r="Z80" i="9"/>
  <c r="Z79" i="9"/>
  <c r="Z78" i="9"/>
  <c r="Z77" i="9"/>
  <c r="Z76" i="9"/>
  <c r="Z75" i="9"/>
  <c r="Z74" i="9"/>
  <c r="Z73" i="9"/>
  <c r="Z72" i="9"/>
  <c r="Z70" i="9"/>
  <c r="Z69" i="9"/>
  <c r="Z68" i="9"/>
  <c r="Z67" i="9"/>
  <c r="Z66" i="9"/>
  <c r="Z65" i="9"/>
  <c r="Z64" i="9"/>
  <c r="Z5" i="9"/>
  <c r="Z124" i="9"/>
  <c r="AB124" i="9" s="1"/>
  <c r="AB123" i="9"/>
  <c r="AA123" i="9"/>
  <c r="AC123" i="9" s="1"/>
  <c r="AE123" i="9" s="1"/>
  <c r="Z121" i="9"/>
  <c r="Z120" i="9"/>
  <c r="AB120" i="9" s="1"/>
  <c r="Z114" i="9"/>
  <c r="Z112" i="9"/>
  <c r="AB112" i="9" s="1"/>
  <c r="Z108" i="9"/>
  <c r="AB108" i="9" s="1"/>
  <c r="AA108" i="9"/>
  <c r="AC108" i="9" s="1"/>
  <c r="AE108" i="9" s="1"/>
  <c r="Z107" i="9"/>
  <c r="Z2" i="9"/>
  <c r="Z85" i="9"/>
  <c r="Z63" i="9"/>
  <c r="Z16" i="9"/>
  <c r="Z86" i="9"/>
  <c r="Z167" i="9"/>
  <c r="AB167" i="9" s="1"/>
  <c r="Z177" i="9"/>
  <c r="Z174" i="9"/>
  <c r="Z48" i="9"/>
  <c r="Z166" i="9"/>
  <c r="Z171" i="9"/>
  <c r="Z186" i="9"/>
  <c r="AA186" i="9" s="1"/>
  <c r="AC186" i="9" s="1"/>
  <c r="Z185" i="9"/>
  <c r="Z184" i="9"/>
  <c r="Z183" i="9"/>
  <c r="Z182" i="9"/>
  <c r="AA182" i="9" s="1"/>
  <c r="AC182" i="9" s="1"/>
  <c r="Z181" i="9"/>
  <c r="AA181" i="9" s="1"/>
  <c r="AC181" i="9" s="1"/>
  <c r="Z179" i="9"/>
  <c r="Z178" i="9"/>
  <c r="Z176" i="9"/>
  <c r="Z175" i="9"/>
  <c r="Z169" i="9"/>
  <c r="Z6" i="9"/>
  <c r="Z17" i="9"/>
  <c r="Z24" i="9"/>
  <c r="Z44" i="9"/>
  <c r="Z49" i="9"/>
  <c r="Z50" i="9"/>
  <c r="Z54" i="9"/>
  <c r="Z60" i="9"/>
  <c r="Z164" i="9"/>
  <c r="Z168" i="9"/>
  <c r="Z127" i="9"/>
  <c r="AA176" i="9"/>
  <c r="AC176" i="9" s="1"/>
  <c r="AB176" i="9"/>
  <c r="AA12" i="9"/>
  <c r="AC12" i="9" s="1"/>
  <c r="AB12" i="9"/>
  <c r="AD12" i="9" s="1"/>
  <c r="AB10" i="9"/>
  <c r="AA113" i="9"/>
  <c r="AC113" i="9" s="1"/>
  <c r="AB113" i="9"/>
  <c r="AA117" i="9"/>
  <c r="AC117" i="9" s="1"/>
  <c r="AB117" i="9"/>
  <c r="AA116" i="9"/>
  <c r="AC116" i="9" s="1"/>
  <c r="AB116" i="9"/>
  <c r="AA21" i="9"/>
  <c r="AC21" i="9" s="1"/>
  <c r="AB21" i="9"/>
  <c r="AD21" i="9" s="1"/>
  <c r="AA167" i="9"/>
  <c r="AC167" i="9" s="1"/>
  <c r="AA132" i="9"/>
  <c r="AC132" i="9" s="1"/>
  <c r="AB132" i="9"/>
  <c r="AA97" i="9"/>
  <c r="AC97" i="9" s="1"/>
  <c r="AB97" i="9"/>
  <c r="Z151" i="9"/>
  <c r="AB151" i="9" s="1"/>
  <c r="Z135" i="9"/>
  <c r="Z119" i="9"/>
  <c r="AB119" i="9" s="1"/>
  <c r="Z103" i="9"/>
  <c r="AB103" i="9" s="1"/>
  <c r="Z87" i="9"/>
  <c r="AB87" i="9" s="1"/>
  <c r="Z71" i="9"/>
  <c r="AB71" i="9" s="1"/>
  <c r="Z55" i="9"/>
  <c r="Z39" i="9"/>
  <c r="AB39" i="9" s="1"/>
  <c r="Z23" i="9"/>
  <c r="AB23" i="9" s="1"/>
  <c r="Z7" i="9"/>
  <c r="AB7" i="9" s="1"/>
  <c r="AA109" i="9"/>
  <c r="AC109" i="9" s="1"/>
  <c r="AA111" i="9"/>
  <c r="AC111" i="9" s="1"/>
  <c r="AE111" i="9" s="1"/>
  <c r="AA122" i="9"/>
  <c r="AC122" i="9" s="1"/>
  <c r="AE122" i="9" s="1"/>
  <c r="AA106" i="9"/>
  <c r="AC106" i="9" s="1"/>
  <c r="AE106" i="9" s="1"/>
  <c r="AA147" i="9"/>
  <c r="AC147" i="9" s="1"/>
  <c r="AA115" i="9"/>
  <c r="AC115" i="9" s="1"/>
  <c r="AE115" i="9" s="1"/>
  <c r="AA110" i="9"/>
  <c r="AC110" i="9" s="1"/>
  <c r="AE110" i="9" s="1"/>
  <c r="AD116" i="9" l="1"/>
  <c r="AA180" i="9"/>
  <c r="AC180" i="9" s="1"/>
  <c r="AE180" i="9" s="1"/>
  <c r="AA120" i="9"/>
  <c r="AC120" i="9" s="1"/>
  <c r="AE120" i="9" s="1"/>
  <c r="AB37" i="9"/>
  <c r="AA222" i="9"/>
  <c r="AC222" i="9" s="1"/>
  <c r="AE222" i="9" s="1"/>
  <c r="AB53" i="9"/>
  <c r="AA124" i="9"/>
  <c r="AC124" i="9" s="1"/>
  <c r="AE124" i="9" s="1"/>
  <c r="AA221" i="9"/>
  <c r="AC221" i="9" s="1"/>
  <c r="AE221" i="9" s="1"/>
  <c r="AD37" i="9"/>
  <c r="AA203" i="9"/>
  <c r="AC203" i="9" s="1"/>
  <c r="AE203" i="9" s="1"/>
  <c r="AD108" i="9"/>
  <c r="AD113" i="9"/>
  <c r="AB118" i="9"/>
  <c r="AD118" i="9" s="1"/>
  <c r="AB181" i="9"/>
  <c r="AB182" i="9"/>
  <c r="AD182" i="9" s="1"/>
  <c r="AA233" i="9"/>
  <c r="AC233" i="9" s="1"/>
  <c r="AE233" i="9" s="1"/>
  <c r="AA226" i="9"/>
  <c r="AC226" i="9" s="1"/>
  <c r="AE226" i="9" s="1"/>
  <c r="AD237" i="9"/>
  <c r="AB186" i="9"/>
  <c r="AA145" i="9"/>
  <c r="AC145" i="9" s="1"/>
  <c r="AB36" i="9"/>
  <c r="AD36" i="9" s="1"/>
  <c r="AA59" i="9"/>
  <c r="AC59" i="9" s="1"/>
  <c r="AE59" i="9" s="1"/>
  <c r="AA205" i="9"/>
  <c r="AC205" i="9" s="1"/>
  <c r="AE205" i="9" s="1"/>
  <c r="AD230" i="9"/>
  <c r="AA112" i="9"/>
  <c r="AC112" i="9" s="1"/>
  <c r="AE112" i="9" s="1"/>
  <c r="AA218" i="9"/>
  <c r="AC218" i="9" s="1"/>
  <c r="AE218" i="9" s="1"/>
  <c r="AB211" i="9"/>
  <c r="AA211" i="9"/>
  <c r="AC211" i="9" s="1"/>
  <c r="AE211" i="9" s="1"/>
  <c r="AB213" i="9"/>
  <c r="AA213" i="9"/>
  <c r="AC213" i="9" s="1"/>
  <c r="AE213" i="9" s="1"/>
  <c r="AB236" i="9"/>
  <c r="AA236" i="9"/>
  <c r="AC236" i="9" s="1"/>
  <c r="AB207" i="9"/>
  <c r="AA207" i="9"/>
  <c r="AC207" i="9" s="1"/>
  <c r="AB219" i="9"/>
  <c r="AA219" i="9"/>
  <c r="AC219" i="9" s="1"/>
  <c r="AE219" i="9" s="1"/>
  <c r="AB238" i="9"/>
  <c r="AA238" i="9"/>
  <c r="AC238" i="9" s="1"/>
  <c r="AB232" i="9"/>
  <c r="AA232" i="9"/>
  <c r="AC232" i="9" s="1"/>
  <c r="AB206" i="9"/>
  <c r="AA206" i="9"/>
  <c r="AC206" i="9" s="1"/>
  <c r="AE206" i="9" s="1"/>
  <c r="AD97" i="9"/>
  <c r="AD176" i="9"/>
  <c r="AD132" i="9"/>
  <c r="AD53" i="9"/>
  <c r="AB190" i="9"/>
  <c r="AA190" i="9"/>
  <c r="AC190" i="9" s="1"/>
  <c r="AB195" i="9"/>
  <c r="AA195" i="9"/>
  <c r="AC195" i="9" s="1"/>
  <c r="AB200" i="9"/>
  <c r="AA200" i="9"/>
  <c r="AC200" i="9" s="1"/>
  <c r="AB214" i="9"/>
  <c r="AA214" i="9"/>
  <c r="AC214" i="9" s="1"/>
  <c r="AB215" i="9"/>
  <c r="AA215" i="9"/>
  <c r="AC215" i="9" s="1"/>
  <c r="AB217" i="9"/>
  <c r="AA217" i="9"/>
  <c r="AC217" i="9" s="1"/>
  <c r="AB220" i="9"/>
  <c r="AA220" i="9"/>
  <c r="AC220" i="9" s="1"/>
  <c r="AB223" i="9"/>
  <c r="AA223" i="9"/>
  <c r="AC223" i="9" s="1"/>
  <c r="AB225" i="9"/>
  <c r="AA225" i="9"/>
  <c r="AC225" i="9" s="1"/>
  <c r="AB227" i="9"/>
  <c r="AA227" i="9"/>
  <c r="AC227" i="9" s="1"/>
  <c r="AB229" i="9"/>
  <c r="AA229" i="9"/>
  <c r="AC229" i="9" s="1"/>
  <c r="AB235" i="9"/>
  <c r="AA235" i="9"/>
  <c r="AC235" i="9" s="1"/>
  <c r="AB210" i="9"/>
  <c r="AA210" i="9"/>
  <c r="AC210" i="9" s="1"/>
  <c r="AB208" i="9"/>
  <c r="AA208" i="9"/>
  <c r="AC208" i="9" s="1"/>
  <c r="AB212" i="9"/>
  <c r="AD212" i="9" s="1"/>
  <c r="AA212" i="9"/>
  <c r="AC212" i="9" s="1"/>
  <c r="AB216" i="9"/>
  <c r="AA216" i="9"/>
  <c r="AC216" i="9" s="1"/>
  <c r="AB204" i="9"/>
  <c r="AA204" i="9"/>
  <c r="AC204" i="9" s="1"/>
  <c r="AB228" i="9"/>
  <c r="AC228" i="9"/>
  <c r="AE228" i="9" s="1"/>
  <c r="AD202" i="9"/>
  <c r="AD207" i="9"/>
  <c r="AD209" i="9"/>
  <c r="AD221" i="9"/>
  <c r="AD222" i="9"/>
  <c r="AD226" i="9"/>
  <c r="AD180" i="9"/>
  <c r="AD123" i="9"/>
  <c r="AD186" i="9"/>
  <c r="AB187" i="9"/>
  <c r="AA187" i="9"/>
  <c r="AC187" i="9" s="1"/>
  <c r="AB188" i="9"/>
  <c r="AA188" i="9"/>
  <c r="AC188" i="9" s="1"/>
  <c r="AB189" i="9"/>
  <c r="AA189" i="9"/>
  <c r="AC189" i="9" s="1"/>
  <c r="AB191" i="9"/>
  <c r="AA191" i="9"/>
  <c r="AC191" i="9" s="1"/>
  <c r="AB192" i="9"/>
  <c r="AA192" i="9"/>
  <c r="AC192" i="9" s="1"/>
  <c r="AB193" i="9"/>
  <c r="AA193" i="9"/>
  <c r="AC193" i="9" s="1"/>
  <c r="AB194" i="9"/>
  <c r="AA194" i="9"/>
  <c r="AC194" i="9" s="1"/>
  <c r="AB196" i="9"/>
  <c r="AA196" i="9"/>
  <c r="AC196" i="9" s="1"/>
  <c r="AB197" i="9"/>
  <c r="AA197" i="9"/>
  <c r="AC197" i="9" s="1"/>
  <c r="AB198" i="9"/>
  <c r="AA198" i="9"/>
  <c r="AC198" i="9" s="1"/>
  <c r="AB199" i="9"/>
  <c r="AA199" i="9"/>
  <c r="AC199" i="9" s="1"/>
  <c r="AB201" i="9"/>
  <c r="AA201" i="9"/>
  <c r="AC201" i="9" s="1"/>
  <c r="AB224" i="9"/>
  <c r="AA224" i="9"/>
  <c r="AC224" i="9" s="1"/>
  <c r="AB231" i="9"/>
  <c r="AA231" i="9"/>
  <c r="AC231" i="9" s="1"/>
  <c r="AB234" i="9"/>
  <c r="AA234" i="9"/>
  <c r="AC234" i="9" s="1"/>
  <c r="AE234" i="9" s="1"/>
  <c r="AB121" i="9"/>
  <c r="AA121" i="9"/>
  <c r="AC121" i="9" s="1"/>
  <c r="AB135" i="9"/>
  <c r="AA135" i="9"/>
  <c r="AC135" i="9" s="1"/>
  <c r="AB55" i="9"/>
  <c r="AA55" i="9"/>
  <c r="AC55" i="9" s="1"/>
  <c r="AE109" i="9"/>
  <c r="AD109" i="9"/>
  <c r="AE147" i="9"/>
  <c r="AD147" i="9"/>
  <c r="AA57" i="9"/>
  <c r="AC57" i="9" s="1"/>
  <c r="AB57" i="9"/>
  <c r="AD57" i="9" s="1"/>
  <c r="AA33" i="9"/>
  <c r="AC33" i="9" s="1"/>
  <c r="AB33" i="9"/>
  <c r="AB11" i="9"/>
  <c r="AA11" i="9"/>
  <c r="AC11" i="9" s="1"/>
  <c r="AE11" i="9" s="1"/>
  <c r="AA3" i="9"/>
  <c r="AC3" i="9" s="1"/>
  <c r="AB3" i="9"/>
  <c r="AA56" i="9"/>
  <c r="AC56" i="9" s="1"/>
  <c r="AB56" i="9"/>
  <c r="AA41" i="9"/>
  <c r="AC41" i="9" s="1"/>
  <c r="AB41" i="9"/>
  <c r="AD41" i="9" s="1"/>
  <c r="AA40" i="9"/>
  <c r="AC40" i="9" s="1"/>
  <c r="AB40" i="9"/>
  <c r="AD40" i="9" s="1"/>
  <c r="AA32" i="9"/>
  <c r="AC32" i="9" s="1"/>
  <c r="AB32" i="9"/>
  <c r="AA28" i="9"/>
  <c r="AC28" i="9" s="1"/>
  <c r="AB28" i="9"/>
  <c r="AD28" i="9" s="1"/>
  <c r="AA27" i="9"/>
  <c r="AC27" i="9" s="1"/>
  <c r="AB27" i="9"/>
  <c r="AA9" i="9"/>
  <c r="AC9" i="9" s="1"/>
  <c r="AB9" i="9"/>
  <c r="AD9" i="9" s="1"/>
  <c r="AA8" i="9"/>
  <c r="AC8" i="9" s="1"/>
  <c r="AB8" i="9"/>
  <c r="AA4" i="9"/>
  <c r="AC4" i="9" s="1"/>
  <c r="AB4" i="9"/>
  <c r="AB162" i="9"/>
  <c r="AA162" i="9"/>
  <c r="AC162" i="9" s="1"/>
  <c r="AE162" i="9" s="1"/>
  <c r="AA160" i="9"/>
  <c r="AC160" i="9" s="1"/>
  <c r="AB160" i="9"/>
  <c r="AA156" i="9"/>
  <c r="AC156" i="9" s="1"/>
  <c r="AB156" i="9"/>
  <c r="AB155" i="9"/>
  <c r="AA155" i="9"/>
  <c r="AC155" i="9" s="1"/>
  <c r="AE155" i="9" s="1"/>
  <c r="AA153" i="9"/>
  <c r="AC153" i="9" s="1"/>
  <c r="AB153" i="9"/>
  <c r="AA152" i="9"/>
  <c r="AC152" i="9" s="1"/>
  <c r="AB152" i="9"/>
  <c r="AA34" i="9"/>
  <c r="AC34" i="9" s="1"/>
  <c r="AB34" i="9"/>
  <c r="AA25" i="9"/>
  <c r="AC25" i="9" s="1"/>
  <c r="AB25" i="9"/>
  <c r="AA18" i="9"/>
  <c r="AC18" i="9" s="1"/>
  <c r="AB18" i="9"/>
  <c r="AB146" i="9"/>
  <c r="AA146" i="9"/>
  <c r="AC146" i="9" s="1"/>
  <c r="AE146" i="9" s="1"/>
  <c r="AA144" i="9"/>
  <c r="AC144" i="9" s="1"/>
  <c r="AB144" i="9"/>
  <c r="AA140" i="9"/>
  <c r="AC140" i="9" s="1"/>
  <c r="AB140" i="9"/>
  <c r="AB139" i="9"/>
  <c r="AA139" i="9"/>
  <c r="AC139" i="9" s="1"/>
  <c r="AA137" i="9"/>
  <c r="AC137" i="9" s="1"/>
  <c r="AB137" i="9"/>
  <c r="AA136" i="9"/>
  <c r="AC136" i="9" s="1"/>
  <c r="AB136" i="9"/>
  <c r="AB130" i="9"/>
  <c r="AA130" i="9"/>
  <c r="AC130" i="9" s="1"/>
  <c r="AA128" i="9"/>
  <c r="AC128" i="9" s="1"/>
  <c r="AB128" i="9"/>
  <c r="AA105" i="9"/>
  <c r="AC105" i="9" s="1"/>
  <c r="AB105" i="9"/>
  <c r="AA104" i="9"/>
  <c r="AC104" i="9" s="1"/>
  <c r="AB104" i="9"/>
  <c r="AB98" i="9"/>
  <c r="AA98" i="9"/>
  <c r="AC98" i="9" s="1"/>
  <c r="AE98" i="9" s="1"/>
  <c r="AA96" i="9"/>
  <c r="AC96" i="9" s="1"/>
  <c r="AB96" i="9"/>
  <c r="AA92" i="9"/>
  <c r="AC92" i="9" s="1"/>
  <c r="AB92" i="9"/>
  <c r="AB91" i="9"/>
  <c r="AA91" i="9"/>
  <c r="AC91" i="9" s="1"/>
  <c r="AA89" i="9"/>
  <c r="AC89" i="9" s="1"/>
  <c r="AB89" i="9"/>
  <c r="AA88" i="9"/>
  <c r="AC88" i="9" s="1"/>
  <c r="AB88" i="9"/>
  <c r="AD88" i="9" s="1"/>
  <c r="AB82" i="9"/>
  <c r="AA82" i="9"/>
  <c r="AC82" i="9" s="1"/>
  <c r="AE82" i="9" s="1"/>
  <c r="AA80" i="9"/>
  <c r="AC80" i="9" s="1"/>
  <c r="AB80" i="9"/>
  <c r="AA76" i="9"/>
  <c r="AC76" i="9" s="1"/>
  <c r="AB76" i="9"/>
  <c r="AD76" i="9" s="1"/>
  <c r="AB75" i="9"/>
  <c r="AA75" i="9"/>
  <c r="AC75" i="9" s="1"/>
  <c r="AA73" i="9"/>
  <c r="AC73" i="9" s="1"/>
  <c r="AB73" i="9"/>
  <c r="AB66" i="9"/>
  <c r="AA66" i="9"/>
  <c r="AC66" i="9" s="1"/>
  <c r="AA64" i="9"/>
  <c r="AC64" i="9" s="1"/>
  <c r="AB64" i="9"/>
  <c r="AB16" i="9"/>
  <c r="AA16" i="9"/>
  <c r="AC16" i="9" s="1"/>
  <c r="AE16" i="9" s="1"/>
  <c r="AA48" i="9"/>
  <c r="AC48" i="9" s="1"/>
  <c r="AB48" i="9"/>
  <c r="AD48" i="9" s="1"/>
  <c r="AB171" i="9"/>
  <c r="AA171" i="9"/>
  <c r="AC171" i="9" s="1"/>
  <c r="AA185" i="9"/>
  <c r="AC185" i="9" s="1"/>
  <c r="AB185" i="9"/>
  <c r="AA179" i="9"/>
  <c r="AC179" i="9" s="1"/>
  <c r="AB179" i="9"/>
  <c r="AA175" i="9"/>
  <c r="AC175" i="9" s="1"/>
  <c r="AB175" i="9"/>
  <c r="AB17" i="9"/>
  <c r="AA17" i="9"/>
  <c r="AC17" i="9" s="1"/>
  <c r="AA24" i="9"/>
  <c r="AC24" i="9" s="1"/>
  <c r="AB24" i="9"/>
  <c r="AA44" i="9"/>
  <c r="AC44" i="9" s="1"/>
  <c r="AB44" i="9"/>
  <c r="AD44" i="9" s="1"/>
  <c r="AB49" i="9"/>
  <c r="AA49" i="9"/>
  <c r="AC49" i="9" s="1"/>
  <c r="AE49" i="9" s="1"/>
  <c r="AB50" i="9"/>
  <c r="AA50" i="9"/>
  <c r="AC50" i="9" s="1"/>
  <c r="AB60" i="9"/>
  <c r="AA60" i="9"/>
  <c r="AC60" i="9" s="1"/>
  <c r="AE60" i="9" s="1"/>
  <c r="AA168" i="9"/>
  <c r="AC168" i="9" s="1"/>
  <c r="AB168" i="9"/>
  <c r="AD124" i="9"/>
  <c r="AD120" i="9"/>
  <c r="AE186" i="9"/>
  <c r="AD181" i="9"/>
  <c r="AE10" i="9"/>
  <c r="AE145" i="9"/>
  <c r="AE117" i="9"/>
  <c r="AE167" i="9"/>
  <c r="AA172" i="9"/>
  <c r="AC172" i="9" s="1"/>
  <c r="AB172" i="9"/>
  <c r="AB173" i="9"/>
  <c r="AA173" i="9"/>
  <c r="AC173" i="9" s="1"/>
  <c r="AB22" i="9"/>
  <c r="AA22" i="9"/>
  <c r="AC22" i="9" s="1"/>
  <c r="AB43" i="9"/>
  <c r="AA43" i="9"/>
  <c r="AC43" i="9" s="1"/>
  <c r="AA170" i="9"/>
  <c r="AC170" i="9" s="1"/>
  <c r="AB170" i="9"/>
  <c r="AD170" i="9" s="1"/>
  <c r="AB31" i="9"/>
  <c r="AA31" i="9"/>
  <c r="AC31" i="9" s="1"/>
  <c r="AD31" i="9" s="1"/>
  <c r="AB19" i="9"/>
  <c r="AD19" i="9" s="1"/>
  <c r="AA19" i="9"/>
  <c r="AC19" i="9" s="1"/>
  <c r="AB14" i="9"/>
  <c r="AA14" i="9"/>
  <c r="AC14" i="9" s="1"/>
  <c r="AB30" i="9"/>
  <c r="AA30" i="9"/>
  <c r="AC30" i="9" s="1"/>
  <c r="AA26" i="9"/>
  <c r="AC26" i="9" s="1"/>
  <c r="AE26" i="9" s="1"/>
  <c r="AB26" i="9"/>
  <c r="AB165" i="9"/>
  <c r="AA165" i="9"/>
  <c r="AC165" i="9" s="1"/>
  <c r="AB163" i="9"/>
  <c r="AA163" i="9"/>
  <c r="AC163" i="9" s="1"/>
  <c r="AB161" i="9"/>
  <c r="AA161" i="9"/>
  <c r="AC161" i="9" s="1"/>
  <c r="AE161" i="9" s="1"/>
  <c r="AB159" i="9"/>
  <c r="AA159" i="9"/>
  <c r="AC159" i="9" s="1"/>
  <c r="AD159" i="9" s="1"/>
  <c r="AB158" i="9"/>
  <c r="AA158" i="9"/>
  <c r="AC158" i="9" s="1"/>
  <c r="AB157" i="9"/>
  <c r="AA157" i="9"/>
  <c r="AC157" i="9" s="1"/>
  <c r="AB154" i="9"/>
  <c r="AA154" i="9"/>
  <c r="AC154" i="9" s="1"/>
  <c r="AA150" i="9"/>
  <c r="AC150" i="9" s="1"/>
  <c r="AE150" i="9" s="1"/>
  <c r="AB150" i="9"/>
  <c r="AB149" i="9"/>
  <c r="AA149" i="9"/>
  <c r="AC149" i="9" s="1"/>
  <c r="AB148" i="9"/>
  <c r="AA148" i="9"/>
  <c r="AC148" i="9" s="1"/>
  <c r="AE148" i="9" s="1"/>
  <c r="AB62" i="9"/>
  <c r="AA62" i="9"/>
  <c r="AC62" i="9" s="1"/>
  <c r="AB61" i="9"/>
  <c r="AD61" i="9" s="1"/>
  <c r="AA61" i="9"/>
  <c r="AC61" i="9" s="1"/>
  <c r="AE61" i="9" s="1"/>
  <c r="AA58" i="9"/>
  <c r="AC58" i="9" s="1"/>
  <c r="AB58" i="9"/>
  <c r="AD58" i="9" s="1"/>
  <c r="AB52" i="9"/>
  <c r="AA52" i="9"/>
  <c r="AC52" i="9" s="1"/>
  <c r="AE52" i="9" s="1"/>
  <c r="AB46" i="9"/>
  <c r="AA46" i="9"/>
  <c r="AC46" i="9" s="1"/>
  <c r="AB45" i="9"/>
  <c r="AA45" i="9"/>
  <c r="AC45" i="9" s="1"/>
  <c r="AB42" i="9"/>
  <c r="AA42" i="9"/>
  <c r="AC42" i="9" s="1"/>
  <c r="AB35" i="9"/>
  <c r="AA35" i="9"/>
  <c r="AC35" i="9" s="1"/>
  <c r="AE35" i="9" s="1"/>
  <c r="AB29" i="9"/>
  <c r="AA29" i="9"/>
  <c r="AC29" i="9" s="1"/>
  <c r="AA20" i="9"/>
  <c r="AC20" i="9" s="1"/>
  <c r="AB20" i="9"/>
  <c r="AD20" i="9" s="1"/>
  <c r="AB15" i="9"/>
  <c r="AA15" i="9"/>
  <c r="AC15" i="9" s="1"/>
  <c r="AE15" i="9" s="1"/>
  <c r="AB13" i="9"/>
  <c r="AA13" i="9"/>
  <c r="AC13" i="9" s="1"/>
  <c r="AE13" i="9" s="1"/>
  <c r="AB143" i="9"/>
  <c r="AA143" i="9"/>
  <c r="AC143" i="9" s="1"/>
  <c r="AB142" i="9"/>
  <c r="AA142" i="9"/>
  <c r="AC142" i="9" s="1"/>
  <c r="AB141" i="9"/>
  <c r="AA141" i="9"/>
  <c r="AC141" i="9" s="1"/>
  <c r="AB138" i="9"/>
  <c r="AA138" i="9"/>
  <c r="AC138" i="9" s="1"/>
  <c r="AE138" i="9" s="1"/>
  <c r="AA134" i="9"/>
  <c r="AC134" i="9" s="1"/>
  <c r="AB134" i="9"/>
  <c r="AB133" i="9"/>
  <c r="AA133" i="9"/>
  <c r="AC133" i="9" s="1"/>
  <c r="AB131" i="9"/>
  <c r="AA131" i="9"/>
  <c r="AC131" i="9" s="1"/>
  <c r="AB129" i="9"/>
  <c r="AA129" i="9"/>
  <c r="AC129" i="9" s="1"/>
  <c r="AE129" i="9" s="1"/>
  <c r="AB125" i="9"/>
  <c r="AA125" i="9"/>
  <c r="AC125" i="9" s="1"/>
  <c r="AB51" i="9"/>
  <c r="AD51" i="9" s="1"/>
  <c r="AA51" i="9"/>
  <c r="AC51" i="9" s="1"/>
  <c r="AB47" i="9"/>
  <c r="AA47" i="9"/>
  <c r="AC47" i="9" s="1"/>
  <c r="AA38" i="9"/>
  <c r="AC38" i="9" s="1"/>
  <c r="AB38" i="9"/>
  <c r="AD38" i="9" s="1"/>
  <c r="AB126" i="9"/>
  <c r="AA126" i="9"/>
  <c r="AC126" i="9" s="1"/>
  <c r="AE126" i="9" s="1"/>
  <c r="AA102" i="9"/>
  <c r="AC102" i="9" s="1"/>
  <c r="AB102" i="9"/>
  <c r="AD102" i="9" s="1"/>
  <c r="AB101" i="9"/>
  <c r="AA101" i="9"/>
  <c r="AC101" i="9" s="1"/>
  <c r="AE101" i="9" s="1"/>
  <c r="AB100" i="9"/>
  <c r="AA100" i="9"/>
  <c r="AC100" i="9" s="1"/>
  <c r="AE100" i="9" s="1"/>
  <c r="AB99" i="9"/>
  <c r="AA99" i="9"/>
  <c r="AC99" i="9" s="1"/>
  <c r="AB95" i="9"/>
  <c r="AA95" i="9"/>
  <c r="AC95" i="9" s="1"/>
  <c r="AB94" i="9"/>
  <c r="AA94" i="9"/>
  <c r="AC94" i="9" s="1"/>
  <c r="AB93" i="9"/>
  <c r="AA93" i="9"/>
  <c r="AC93" i="9" s="1"/>
  <c r="AE93" i="9" s="1"/>
  <c r="AB90" i="9"/>
  <c r="AA90" i="9"/>
  <c r="AC90" i="9" s="1"/>
  <c r="AE90" i="9" s="1"/>
  <c r="AA84" i="9"/>
  <c r="AC84" i="9" s="1"/>
  <c r="AB84" i="9"/>
  <c r="AB83" i="9"/>
  <c r="AA83" i="9"/>
  <c r="AC83" i="9" s="1"/>
  <c r="AE83" i="9" s="1"/>
  <c r="AB81" i="9"/>
  <c r="AA81" i="9"/>
  <c r="AC81" i="9" s="1"/>
  <c r="AE81" i="9" s="1"/>
  <c r="AB79" i="9"/>
  <c r="AA79" i="9"/>
  <c r="AC79" i="9" s="1"/>
  <c r="AB78" i="9"/>
  <c r="AA78" i="9"/>
  <c r="AC78" i="9" s="1"/>
  <c r="AB77" i="9"/>
  <c r="AA77" i="9"/>
  <c r="AC77" i="9" s="1"/>
  <c r="AB74" i="9"/>
  <c r="AA74" i="9"/>
  <c r="AC74" i="9" s="1"/>
  <c r="AA72" i="9"/>
  <c r="AC72" i="9" s="1"/>
  <c r="AB72" i="9"/>
  <c r="AD72" i="9" s="1"/>
  <c r="AA70" i="9"/>
  <c r="AC70" i="9" s="1"/>
  <c r="AB70" i="9"/>
  <c r="AB69" i="9"/>
  <c r="AA69" i="9"/>
  <c r="AC69" i="9" s="1"/>
  <c r="AE69" i="9" s="1"/>
  <c r="AB68" i="9"/>
  <c r="AA68" i="9"/>
  <c r="AC68" i="9" s="1"/>
  <c r="AE68" i="9" s="1"/>
  <c r="AB67" i="9"/>
  <c r="AA67" i="9"/>
  <c r="AC67" i="9" s="1"/>
  <c r="AA65" i="9"/>
  <c r="AC65" i="9" s="1"/>
  <c r="AB65" i="9"/>
  <c r="AB5" i="9"/>
  <c r="AA5" i="9"/>
  <c r="AC5" i="9" s="1"/>
  <c r="AB114" i="9"/>
  <c r="AA114" i="9"/>
  <c r="AC114" i="9" s="1"/>
  <c r="AB107" i="9"/>
  <c r="AA107" i="9"/>
  <c r="AC107" i="9" s="1"/>
  <c r="AB2" i="9"/>
  <c r="AA2" i="9"/>
  <c r="AC2" i="9" s="1"/>
  <c r="AA85" i="9"/>
  <c r="AC85" i="9" s="1"/>
  <c r="AB85" i="9"/>
  <c r="AD85" i="9" s="1"/>
  <c r="AB63" i="9"/>
  <c r="AA63" i="9"/>
  <c r="AC63" i="9" s="1"/>
  <c r="AA86" i="9"/>
  <c r="AC86" i="9" s="1"/>
  <c r="AB86" i="9"/>
  <c r="AA177" i="9"/>
  <c r="AC177" i="9" s="1"/>
  <c r="AB177" i="9"/>
  <c r="AB174" i="9"/>
  <c r="AA174" i="9"/>
  <c r="AC174" i="9" s="1"/>
  <c r="AA166" i="9"/>
  <c r="AC166" i="9" s="1"/>
  <c r="AB166" i="9"/>
  <c r="AB184" i="9"/>
  <c r="AA184" i="9"/>
  <c r="AC184" i="9" s="1"/>
  <c r="AE184" i="9" s="1"/>
  <c r="AA183" i="9"/>
  <c r="AC183" i="9" s="1"/>
  <c r="AB183" i="9"/>
  <c r="AB178" i="9"/>
  <c r="AA178" i="9"/>
  <c r="AC178" i="9" s="1"/>
  <c r="AE178" i="9" s="1"/>
  <c r="AB169" i="9"/>
  <c r="AA169" i="9"/>
  <c r="AC169" i="9" s="1"/>
  <c r="AE169" i="9" s="1"/>
  <c r="AA6" i="9"/>
  <c r="AC6" i="9" s="1"/>
  <c r="AB6" i="9"/>
  <c r="AA54" i="9"/>
  <c r="AC54" i="9" s="1"/>
  <c r="AB54" i="9"/>
  <c r="AB164" i="9"/>
  <c r="AA164" i="9"/>
  <c r="AC164" i="9" s="1"/>
  <c r="AB127" i="9"/>
  <c r="AA127" i="9"/>
  <c r="AC127" i="9" s="1"/>
  <c r="AE127" i="9" s="1"/>
  <c r="AE181" i="9"/>
  <c r="AE176" i="9"/>
  <c r="AE170" i="9"/>
  <c r="AD106" i="9"/>
  <c r="AD145" i="9"/>
  <c r="AD122" i="9"/>
  <c r="AA39" i="9"/>
  <c r="AC39" i="9" s="1"/>
  <c r="AE39" i="9" s="1"/>
  <c r="AD110" i="9"/>
  <c r="AA7" i="9"/>
  <c r="AC7" i="9" s="1"/>
  <c r="AE165" i="9"/>
  <c r="AE132" i="9"/>
  <c r="AA119" i="9"/>
  <c r="AC119" i="9" s="1"/>
  <c r="AE119" i="9" s="1"/>
  <c r="AA23" i="9"/>
  <c r="AC23" i="9" s="1"/>
  <c r="AE23" i="9" s="1"/>
  <c r="AE53" i="9"/>
  <c r="AD115" i="9"/>
  <c r="AE116" i="9"/>
  <c r="AD138" i="9"/>
  <c r="AE133" i="9"/>
  <c r="AA71" i="9"/>
  <c r="AC71" i="9" s="1"/>
  <c r="AE71" i="9" s="1"/>
  <c r="AE37" i="9"/>
  <c r="AE12" i="9"/>
  <c r="AE113" i="9"/>
  <c r="AA151" i="9"/>
  <c r="AC151" i="9" s="1"/>
  <c r="AE151" i="9" s="1"/>
  <c r="AE21" i="9"/>
  <c r="AA103" i="9"/>
  <c r="AC103" i="9" s="1"/>
  <c r="AE103" i="9" s="1"/>
  <c r="AD167" i="9"/>
  <c r="AE97" i="9"/>
  <c r="AD117" i="9"/>
  <c r="AA87" i="9"/>
  <c r="AC87" i="9" s="1"/>
  <c r="AD10" i="9"/>
  <c r="AD111" i="9"/>
  <c r="AD213" i="9" l="1"/>
  <c r="AD234" i="9"/>
  <c r="AD218" i="9"/>
  <c r="AE118" i="9"/>
  <c r="AD42" i="9"/>
  <c r="AE182" i="9"/>
  <c r="AE235" i="9"/>
  <c r="AE238" i="9"/>
  <c r="AD233" i="9"/>
  <c r="AD203" i="9"/>
  <c r="AD79" i="9"/>
  <c r="AD143" i="9"/>
  <c r="AD219" i="9"/>
  <c r="AE158" i="9"/>
  <c r="AE19" i="9"/>
  <c r="AE130" i="9"/>
  <c r="AD4" i="9"/>
  <c r="AD86" i="9"/>
  <c r="AE67" i="9"/>
  <c r="AE79" i="9"/>
  <c r="AE143" i="9"/>
  <c r="AE154" i="9"/>
  <c r="AD172" i="9"/>
  <c r="AD59" i="9"/>
  <c r="AD183" i="9"/>
  <c r="AE2" i="9"/>
  <c r="AD70" i="9"/>
  <c r="AD84" i="9"/>
  <c r="AE159" i="9"/>
  <c r="AE31" i="9"/>
  <c r="AE17" i="9"/>
  <c r="AE66" i="9"/>
  <c r="AE91" i="9"/>
  <c r="AD34" i="9"/>
  <c r="AD228" i="9"/>
  <c r="AE27" i="9"/>
  <c r="AD231" i="9"/>
  <c r="AE36" i="9"/>
  <c r="AE149" i="9"/>
  <c r="AD148" i="9"/>
  <c r="AD54" i="9"/>
  <c r="AD177" i="9"/>
  <c r="AE51" i="9"/>
  <c r="AE142" i="9"/>
  <c r="AE45" i="9"/>
  <c r="AD150" i="9"/>
  <c r="AD26" i="9"/>
  <c r="AD206" i="9"/>
  <c r="AE50" i="9"/>
  <c r="AD32" i="9"/>
  <c r="AE232" i="9"/>
  <c r="AE6" i="9"/>
  <c r="AE80" i="9"/>
  <c r="AD157" i="9"/>
  <c r="AE105" i="9"/>
  <c r="AD211" i="9"/>
  <c r="AD208" i="9"/>
  <c r="AE177" i="9"/>
  <c r="AE89" i="9"/>
  <c r="AE56" i="9"/>
  <c r="AD205" i="9"/>
  <c r="AD235" i="9"/>
  <c r="AD112" i="9"/>
  <c r="AE8" i="9"/>
  <c r="AD78" i="9"/>
  <c r="AD175" i="9"/>
  <c r="AD92" i="9"/>
  <c r="AD137" i="9"/>
  <c r="AE207" i="9"/>
  <c r="AD15" i="9"/>
  <c r="AE166" i="9"/>
  <c r="AD74" i="9"/>
  <c r="AE164" i="9"/>
  <c r="AE174" i="9"/>
  <c r="AE5" i="9"/>
  <c r="AE77" i="9"/>
  <c r="AE94" i="9"/>
  <c r="AE47" i="9"/>
  <c r="AE141" i="9"/>
  <c r="AE42" i="9"/>
  <c r="AD168" i="9"/>
  <c r="AD179" i="9"/>
  <c r="AE75" i="9"/>
  <c r="AE139" i="9"/>
  <c r="AD153" i="9"/>
  <c r="AE231" i="9"/>
  <c r="AE236" i="9"/>
  <c r="AD236" i="9"/>
  <c r="AD238" i="9"/>
  <c r="AD232" i="9"/>
  <c r="AD195" i="9"/>
  <c r="AE195" i="9"/>
  <c r="AD210" i="9"/>
  <c r="AE157" i="9"/>
  <c r="AE85" i="9"/>
  <c r="AD166" i="9"/>
  <c r="AE183" i="9"/>
  <c r="AE208" i="9"/>
  <c r="AE86" i="9"/>
  <c r="AD164" i="9"/>
  <c r="AD33" i="9"/>
  <c r="AE140" i="9"/>
  <c r="AE136" i="9"/>
  <c r="AD154" i="9"/>
  <c r="AD184" i="9"/>
  <c r="AD178" i="9"/>
  <c r="AE171" i="9"/>
  <c r="AD49" i="9"/>
  <c r="AD161" i="9"/>
  <c r="AD158" i="9"/>
  <c r="AE54" i="9"/>
  <c r="AD45" i="9"/>
  <c r="AD142" i="9"/>
  <c r="AD141" i="9"/>
  <c r="AD47" i="9"/>
  <c r="AE38" i="9"/>
  <c r="AD126" i="9"/>
  <c r="AD94" i="9"/>
  <c r="AD93" i="9"/>
  <c r="AD90" i="9"/>
  <c r="AE84" i="9"/>
  <c r="AE78" i="9"/>
  <c r="AE74" i="9"/>
  <c r="AE72" i="9"/>
  <c r="AD67" i="9"/>
  <c r="AE65" i="9"/>
  <c r="AD169" i="9"/>
  <c r="AE190" i="9"/>
  <c r="AD190" i="9"/>
  <c r="AE200" i="9"/>
  <c r="AD200" i="9"/>
  <c r="AE214" i="9"/>
  <c r="AD214" i="9"/>
  <c r="AE215" i="9"/>
  <c r="AD215" i="9"/>
  <c r="AE217" i="9"/>
  <c r="AD217" i="9"/>
  <c r="AE220" i="9"/>
  <c r="AD220" i="9"/>
  <c r="AE223" i="9"/>
  <c r="AD223" i="9"/>
  <c r="AE225" i="9"/>
  <c r="AD225" i="9"/>
  <c r="AE227" i="9"/>
  <c r="AD227" i="9"/>
  <c r="AE229" i="9"/>
  <c r="AD229" i="9"/>
  <c r="AE163" i="9"/>
  <c r="AD163" i="9"/>
  <c r="AE210" i="9"/>
  <c r="AE212" i="9"/>
  <c r="AE216" i="9"/>
  <c r="AD216" i="9"/>
  <c r="AE204" i="9"/>
  <c r="AD204" i="9"/>
  <c r="AD187" i="9"/>
  <c r="AE187" i="9"/>
  <c r="AD188" i="9"/>
  <c r="AE188" i="9"/>
  <c r="AD189" i="9"/>
  <c r="AE189" i="9"/>
  <c r="AD191" i="9"/>
  <c r="AE191" i="9"/>
  <c r="AD192" i="9"/>
  <c r="AE192" i="9"/>
  <c r="AD193" i="9"/>
  <c r="AE193" i="9"/>
  <c r="AD194" i="9"/>
  <c r="AE194" i="9"/>
  <c r="AD196" i="9"/>
  <c r="AE196" i="9"/>
  <c r="AD197" i="9"/>
  <c r="AE197" i="9"/>
  <c r="AD198" i="9"/>
  <c r="AE198" i="9"/>
  <c r="AD199" i="9"/>
  <c r="AE199" i="9"/>
  <c r="AD201" i="9"/>
  <c r="AE201" i="9"/>
  <c r="AD224" i="9"/>
  <c r="AE224" i="9"/>
  <c r="AD121" i="9"/>
  <c r="AE121" i="9"/>
  <c r="AD60" i="9"/>
  <c r="AE172" i="9"/>
  <c r="AD149" i="9"/>
  <c r="AD65" i="9"/>
  <c r="AD6" i="9"/>
  <c r="AE33" i="9"/>
  <c r="AE3" i="9"/>
  <c r="AE9" i="9"/>
  <c r="AD73" i="9"/>
  <c r="AD144" i="9"/>
  <c r="AE57" i="9"/>
  <c r="AE32" i="9"/>
  <c r="AE28" i="9"/>
  <c r="AE4" i="9"/>
  <c r="AE160" i="9"/>
  <c r="AD156" i="9"/>
  <c r="AD152" i="9"/>
  <c r="AE25" i="9"/>
  <c r="AE18" i="9"/>
  <c r="AD128" i="9"/>
  <c r="AD104" i="9"/>
  <c r="AD98" i="9"/>
  <c r="AE96" i="9"/>
  <c r="AE92" i="9"/>
  <c r="AD89" i="9"/>
  <c r="AD75" i="9"/>
  <c r="AD64" i="9"/>
  <c r="AD185" i="9"/>
  <c r="AE24" i="9"/>
  <c r="AE135" i="9"/>
  <c r="AD135" i="9"/>
  <c r="AE55" i="9"/>
  <c r="AD55" i="9"/>
  <c r="AD173" i="9"/>
  <c r="AE173" i="9"/>
  <c r="AD22" i="9"/>
  <c r="AE22" i="9"/>
  <c r="AD43" i="9"/>
  <c r="AE43" i="9"/>
  <c r="AD14" i="9"/>
  <c r="AE14" i="9"/>
  <c r="AD30" i="9"/>
  <c r="AE30" i="9"/>
  <c r="AD62" i="9"/>
  <c r="AE62" i="9"/>
  <c r="AD46" i="9"/>
  <c r="AE46" i="9"/>
  <c r="AD29" i="9"/>
  <c r="AE29" i="9"/>
  <c r="AE134" i="9"/>
  <c r="AD134" i="9"/>
  <c r="AD131" i="9"/>
  <c r="AE131" i="9"/>
  <c r="AD125" i="9"/>
  <c r="AE125" i="9"/>
  <c r="AD99" i="9"/>
  <c r="AE99" i="9"/>
  <c r="AD95" i="9"/>
  <c r="AE95" i="9"/>
  <c r="AD114" i="9"/>
  <c r="AE114" i="9"/>
  <c r="AD107" i="9"/>
  <c r="AE107" i="9"/>
  <c r="AD63" i="9"/>
  <c r="AE63" i="9"/>
  <c r="AE73" i="9"/>
  <c r="AD66" i="9"/>
  <c r="AE64" i="9"/>
  <c r="AD16" i="9"/>
  <c r="AE48" i="9"/>
  <c r="AD171" i="9"/>
  <c r="AE185" i="9"/>
  <c r="AE179" i="9"/>
  <c r="AE175" i="9"/>
  <c r="AD17" i="9"/>
  <c r="AE168" i="9"/>
  <c r="AD165" i="9"/>
  <c r="AD127" i="9"/>
  <c r="AD56" i="9"/>
  <c r="AD27" i="9"/>
  <c r="AD8" i="9"/>
  <c r="AE156" i="9"/>
  <c r="AE152" i="9"/>
  <c r="AE34" i="9"/>
  <c r="AD18" i="9"/>
  <c r="AE144" i="9"/>
  <c r="AD139" i="9"/>
  <c r="AE137" i="9"/>
  <c r="AD130" i="9"/>
  <c r="AE128" i="9"/>
  <c r="AE104" i="9"/>
  <c r="AD96" i="9"/>
  <c r="AE88" i="9"/>
  <c r="AD82" i="9"/>
  <c r="AD24" i="9"/>
  <c r="AE44" i="9"/>
  <c r="AD50" i="9"/>
  <c r="AD11" i="9"/>
  <c r="AD3" i="9"/>
  <c r="AE41" i="9"/>
  <c r="AE40" i="9"/>
  <c r="AD162" i="9"/>
  <c r="AD160" i="9"/>
  <c r="AD155" i="9"/>
  <c r="AE153" i="9"/>
  <c r="AD25" i="9"/>
  <c r="AD146" i="9"/>
  <c r="AD140" i="9"/>
  <c r="AD136" i="9"/>
  <c r="AD105" i="9"/>
  <c r="AE76" i="9"/>
  <c r="AE58" i="9"/>
  <c r="AD52" i="9"/>
  <c r="AD35" i="9"/>
  <c r="AE20" i="9"/>
  <c r="AD13" i="9"/>
  <c r="AD133" i="9"/>
  <c r="AD129" i="9"/>
  <c r="AE102" i="9"/>
  <c r="AD81" i="9"/>
  <c r="AE70" i="9"/>
  <c r="AD5" i="9"/>
  <c r="AD2" i="9"/>
  <c r="AD80" i="9"/>
  <c r="AD101" i="9"/>
  <c r="AD100" i="9"/>
  <c r="AD83" i="9"/>
  <c r="AD77" i="9"/>
  <c r="AD69" i="9"/>
  <c r="AD68" i="9"/>
  <c r="AD91" i="9"/>
  <c r="AD174" i="9"/>
  <c r="AE7" i="9"/>
  <c r="AD7" i="9"/>
  <c r="AE87" i="9"/>
  <c r="AD87" i="9"/>
  <c r="AD71" i="9"/>
  <c r="AD103" i="9"/>
  <c r="AD151" i="9"/>
  <c r="AD39" i="9"/>
  <c r="AD119" i="9"/>
  <c r="AD23" i="9"/>
</calcChain>
</file>

<file path=xl/sharedStrings.xml><?xml version="1.0" encoding="utf-8"?>
<sst xmlns="http://schemas.openxmlformats.org/spreadsheetml/2006/main" count="3585" uniqueCount="490">
  <si>
    <t>Codigo Bateria</t>
  </si>
  <si>
    <t>Nom. de vía (Una sola calzada)</t>
  </si>
  <si>
    <t>Número de vía</t>
  </si>
  <si>
    <t>Nom. de inicio</t>
  </si>
  <si>
    <t>Número de inicio</t>
  </si>
  <si>
    <t>Nom. de final</t>
  </si>
  <si>
    <t>Número de final</t>
  </si>
  <si>
    <t>Sentido Vial: N-S (1), S-N
 (2), W-E (3), E-W(4)</t>
  </si>
  <si>
    <t>Lado: Izquierdo (I) Derecho (D)</t>
  </si>
  <si>
    <t>Condición: En vía (V), en andén (A), en Bahía (B), en antejardín (J)</t>
  </si>
  <si>
    <t>Señal de prohibido: Si (S) - No (N)</t>
  </si>
  <si>
    <t>Hidrantes y obstáculos</t>
  </si>
  <si>
    <t>Uso
 predominante
 : Autos (A),
 Motos (M), Mixtos (MX)</t>
  </si>
  <si>
    <t>Zona restringida</t>
  </si>
  <si>
    <t>Número de carriles</t>
  </si>
  <si>
    <t>Sentido de la vía</t>
  </si>
  <si>
    <t>Número de Garajes</t>
  </si>
  <si>
    <t>Observaciones</t>
  </si>
  <si>
    <t>Zona</t>
  </si>
  <si>
    <t>Longitud</t>
  </si>
  <si>
    <t>CL</t>
  </si>
  <si>
    <t>D</t>
  </si>
  <si>
    <t>V</t>
  </si>
  <si>
    <t>MX</t>
  </si>
  <si>
    <t>S</t>
  </si>
  <si>
    <t>13B</t>
  </si>
  <si>
    <t>N</t>
  </si>
  <si>
    <t>M</t>
  </si>
  <si>
    <t>A</t>
  </si>
  <si>
    <t>I</t>
  </si>
  <si>
    <t>4C</t>
  </si>
  <si>
    <t>AV</t>
  </si>
  <si>
    <t>02070028-2</t>
  </si>
  <si>
    <t>02070013-1</t>
  </si>
  <si>
    <t>02070013-2</t>
  </si>
  <si>
    <t>02070013-3</t>
  </si>
  <si>
    <t>02070013-4</t>
  </si>
  <si>
    <t>02070020-1</t>
  </si>
  <si>
    <t>02070020-2</t>
  </si>
  <si>
    <t>02070020-3</t>
  </si>
  <si>
    <t>02070020-4</t>
  </si>
  <si>
    <t>02070018-1</t>
  </si>
  <si>
    <t>02070018-2</t>
  </si>
  <si>
    <t>02070018-3</t>
  </si>
  <si>
    <t>02070018-4</t>
  </si>
  <si>
    <t>02070033-1</t>
  </si>
  <si>
    <t>02070021-1</t>
  </si>
  <si>
    <t>02070021-2</t>
  </si>
  <si>
    <t>02070021-3</t>
  </si>
  <si>
    <t>02070021-4</t>
  </si>
  <si>
    <t>02070035-1</t>
  </si>
  <si>
    <t>02070022-1</t>
  </si>
  <si>
    <t>02070022-2</t>
  </si>
  <si>
    <t>02070022-3</t>
  </si>
  <si>
    <t>02070022-4</t>
  </si>
  <si>
    <t>02070037-1</t>
  </si>
  <si>
    <t>02070012-1</t>
  </si>
  <si>
    <t>02070011-2</t>
  </si>
  <si>
    <t>02070011-3</t>
  </si>
  <si>
    <t>02070011-4</t>
  </si>
  <si>
    <t>02070010-1</t>
  </si>
  <si>
    <t>02070010-2</t>
  </si>
  <si>
    <t>02070010-3</t>
  </si>
  <si>
    <t>02070010-4</t>
  </si>
  <si>
    <t>02070015-1</t>
  </si>
  <si>
    <t>02070015-2</t>
  </si>
  <si>
    <t>02070015-3</t>
  </si>
  <si>
    <t>02070015-4</t>
  </si>
  <si>
    <t>02070014-1</t>
  </si>
  <si>
    <t>02070014-2</t>
  </si>
  <si>
    <t>02070014-3</t>
  </si>
  <si>
    <t>02070014-4</t>
  </si>
  <si>
    <t>02070012-3</t>
  </si>
  <si>
    <t>02070012-4</t>
  </si>
  <si>
    <t>02070028-4</t>
  </si>
  <si>
    <t>02070017-3</t>
  </si>
  <si>
    <t>02070017-4</t>
  </si>
  <si>
    <t>02070036-1</t>
  </si>
  <si>
    <t>02070019-1</t>
  </si>
  <si>
    <t>02070019-2</t>
  </si>
  <si>
    <t>02070019-3</t>
  </si>
  <si>
    <t>02070019-4</t>
  </si>
  <si>
    <t>02070016-1</t>
  </si>
  <si>
    <t>02070016-4</t>
  </si>
  <si>
    <t>02070027-4</t>
  </si>
  <si>
    <t>02070030-4</t>
  </si>
  <si>
    <t>02070024-1</t>
  </si>
  <si>
    <t>02070030-2</t>
  </si>
  <si>
    <t>02070031-2</t>
  </si>
  <si>
    <t>02070032-2</t>
  </si>
  <si>
    <t>02070032-1</t>
  </si>
  <si>
    <t>02050013-4</t>
  </si>
  <si>
    <t>02050013-1</t>
  </si>
  <si>
    <t>02050013-2</t>
  </si>
  <si>
    <t>02050014-4</t>
  </si>
  <si>
    <t>02050012-4</t>
  </si>
  <si>
    <t>02050012-1</t>
  </si>
  <si>
    <t>02050012-2</t>
  </si>
  <si>
    <t>02050011-2</t>
  </si>
  <si>
    <t>02050011-1</t>
  </si>
  <si>
    <t>02050011-3</t>
  </si>
  <si>
    <t>02050011-4</t>
  </si>
  <si>
    <t>02050016-1</t>
  </si>
  <si>
    <t>02050016-4</t>
  </si>
  <si>
    <t>02070027-3</t>
  </si>
  <si>
    <t>02070026-1</t>
  </si>
  <si>
    <t>02070026-2</t>
  </si>
  <si>
    <t>02070025-1</t>
  </si>
  <si>
    <t>02070025-3</t>
  </si>
  <si>
    <t>02070024-2</t>
  </si>
  <si>
    <t>02060007-1</t>
  </si>
  <si>
    <t>02070029-2</t>
  </si>
  <si>
    <t>02070038-1</t>
  </si>
  <si>
    <t>02070028-3</t>
  </si>
  <si>
    <t>02070027-1</t>
  </si>
  <si>
    <t>02070027-2</t>
  </si>
  <si>
    <t>02060012-2</t>
  </si>
  <si>
    <t>02060012-4</t>
  </si>
  <si>
    <t>02060004-1</t>
  </si>
  <si>
    <t>02060004-4</t>
  </si>
  <si>
    <t>02060010-4</t>
  </si>
  <si>
    <t>02060003-4</t>
  </si>
  <si>
    <t>02060002-1</t>
  </si>
  <si>
    <t>02060002-2</t>
  </si>
  <si>
    <t>02060001-1</t>
  </si>
  <si>
    <t>02060013-2</t>
  </si>
  <si>
    <t>02060013-4</t>
  </si>
  <si>
    <t>02060014-2</t>
  </si>
  <si>
    <t>02060011-2</t>
  </si>
  <si>
    <t>02060011-4</t>
  </si>
  <si>
    <t>02060003-2</t>
  </si>
  <si>
    <t>02060003-1</t>
  </si>
  <si>
    <t>02060001-2</t>
  </si>
  <si>
    <t>02060014-1</t>
  </si>
  <si>
    <t>03030025-1</t>
  </si>
  <si>
    <t>03030025-2</t>
  </si>
  <si>
    <t>03030025-3</t>
  </si>
  <si>
    <t>03030025-4</t>
  </si>
  <si>
    <t>03030019-1</t>
  </si>
  <si>
    <t>03030019-3</t>
  </si>
  <si>
    <t>03030019-4</t>
  </si>
  <si>
    <t>03030021-1</t>
  </si>
  <si>
    <t>03030021-2</t>
  </si>
  <si>
    <t>03030021-3</t>
  </si>
  <si>
    <t>03030021-4</t>
  </si>
  <si>
    <t>03030007-1</t>
  </si>
  <si>
    <t>03030007-2</t>
  </si>
  <si>
    <t>03030007-3</t>
  </si>
  <si>
    <t>03030007-4</t>
  </si>
  <si>
    <t>03030009-3</t>
  </si>
  <si>
    <t>03030009-4</t>
  </si>
  <si>
    <t>03040001-1</t>
  </si>
  <si>
    <t>03040001-2</t>
  </si>
  <si>
    <t>03030017-1</t>
  </si>
  <si>
    <t>03030017-2</t>
  </si>
  <si>
    <t>03030017-3</t>
  </si>
  <si>
    <t>03030017-4</t>
  </si>
  <si>
    <t>03030014-3</t>
  </si>
  <si>
    <t>03030012-1</t>
  </si>
  <si>
    <t>03030012-2</t>
  </si>
  <si>
    <t>03030012-3</t>
  </si>
  <si>
    <t>03030012-4</t>
  </si>
  <si>
    <t>03030022-1</t>
  </si>
  <si>
    <t>03030022-2</t>
  </si>
  <si>
    <t>03030022-3</t>
  </si>
  <si>
    <t>03030010-3</t>
  </si>
  <si>
    <t>03030005-2</t>
  </si>
  <si>
    <t>03030005-3</t>
  </si>
  <si>
    <t>03030024-1</t>
  </si>
  <si>
    <t>03030024-2</t>
  </si>
  <si>
    <t>03030024-3</t>
  </si>
  <si>
    <t>03030016-1</t>
  </si>
  <si>
    <t>03030016-2</t>
  </si>
  <si>
    <t>03030016-3</t>
  </si>
  <si>
    <t>03030016-4</t>
  </si>
  <si>
    <t>03030023-1</t>
  </si>
  <si>
    <t>03030023-3</t>
  </si>
  <si>
    <t>03030023-4</t>
  </si>
  <si>
    <t>03030006-1</t>
  </si>
  <si>
    <t>03030006-2</t>
  </si>
  <si>
    <t>03030027-1</t>
  </si>
  <si>
    <t>03030027-3</t>
  </si>
  <si>
    <t>03030027-4</t>
  </si>
  <si>
    <t>03030011-1</t>
  </si>
  <si>
    <t>03030011-3</t>
  </si>
  <si>
    <t>03030011-4</t>
  </si>
  <si>
    <t>03030020-1</t>
  </si>
  <si>
    <t>03030020-2</t>
  </si>
  <si>
    <t>03030020-3</t>
  </si>
  <si>
    <t>03030020-4</t>
  </si>
  <si>
    <t>03030013-1</t>
  </si>
  <si>
    <t>03030013-2</t>
  </si>
  <si>
    <t>03030013-3</t>
  </si>
  <si>
    <t>03030013-4</t>
  </si>
  <si>
    <t>03030018-1</t>
  </si>
  <si>
    <t>03030018-3</t>
  </si>
  <si>
    <t>03030018-4</t>
  </si>
  <si>
    <t>03030026-1</t>
  </si>
  <si>
    <t>03030026-2</t>
  </si>
  <si>
    <t>03030026-3</t>
  </si>
  <si>
    <t>03030026-4</t>
  </si>
  <si>
    <t>03030015-1</t>
  </si>
  <si>
    <t>03030015-2</t>
  </si>
  <si>
    <t>03030015-3</t>
  </si>
  <si>
    <t>03030029-3</t>
  </si>
  <si>
    <t>03030029-4</t>
  </si>
  <si>
    <t>03030008-2</t>
  </si>
  <si>
    <t>03030008-3</t>
  </si>
  <si>
    <t>03030008-4</t>
  </si>
  <si>
    <t>03040008-1</t>
  </si>
  <si>
    <t>03030010-1</t>
  </si>
  <si>
    <t>E-W</t>
  </si>
  <si>
    <t>18 NORTE</t>
  </si>
  <si>
    <t>9 NORTE</t>
  </si>
  <si>
    <t>8 NORTE</t>
  </si>
  <si>
    <t>9A NORTE</t>
  </si>
  <si>
    <t>6 NORTE</t>
  </si>
  <si>
    <t>17 NORTE</t>
  </si>
  <si>
    <t>W-E</t>
  </si>
  <si>
    <t>16 NORTE</t>
  </si>
  <si>
    <t>15A NORTE</t>
  </si>
  <si>
    <t>15 NORTE</t>
  </si>
  <si>
    <t>14 NORTE</t>
  </si>
  <si>
    <t>6A NORTE</t>
  </si>
  <si>
    <t>DOBLE</t>
  </si>
  <si>
    <t>13 NORTE</t>
  </si>
  <si>
    <t>12A NORTE</t>
  </si>
  <si>
    <t>12 NORTE</t>
  </si>
  <si>
    <t>10 NORTE</t>
  </si>
  <si>
    <t>N-S</t>
  </si>
  <si>
    <t>02050013-3</t>
  </si>
  <si>
    <t>02050012-3</t>
  </si>
  <si>
    <t>17A NORTE</t>
  </si>
  <si>
    <t>S-N</t>
  </si>
  <si>
    <t>02070012-2</t>
  </si>
  <si>
    <t>4 NORTE</t>
  </si>
  <si>
    <t>02100057-3</t>
  </si>
  <si>
    <t>02070011-1</t>
  </si>
  <si>
    <t>UNICO</t>
  </si>
  <si>
    <t>2 NORTE</t>
  </si>
  <si>
    <t>3 NORTE</t>
  </si>
  <si>
    <t>7 NORTE</t>
  </si>
  <si>
    <t>1 NORTE</t>
  </si>
  <si>
    <t>5 NORTE</t>
  </si>
  <si>
    <t>4 OESTE</t>
  </si>
  <si>
    <t>V-A</t>
  </si>
  <si>
    <t>HITOS</t>
  </si>
  <si>
    <t>B</t>
  </si>
  <si>
    <t>B-A</t>
  </si>
  <si>
    <t>BOLARDOS DE CONCRETO</t>
  </si>
  <si>
    <t>HITOS Y CONOS</t>
  </si>
  <si>
    <t>KR</t>
  </si>
  <si>
    <t>Latitud</t>
  </si>
  <si>
    <t>2</t>
  </si>
  <si>
    <t>3</t>
  </si>
  <si>
    <t>4</t>
  </si>
  <si>
    <t>1</t>
  </si>
  <si>
    <t>5</t>
  </si>
  <si>
    <t>Longitud Neta del
 Lado (incluye accesos y obstáculos) de inicio a fin de</t>
  </si>
  <si>
    <t>Longitud Calculada del
 Lado (incluye garajes, accesos y obstáculos) de inicio a fin</t>
  </si>
  <si>
    <t>10</t>
  </si>
  <si>
    <t>9</t>
  </si>
  <si>
    <t>12</t>
  </si>
  <si>
    <t>6</t>
  </si>
  <si>
    <t>13</t>
  </si>
  <si>
    <t>Dirección Completa</t>
  </si>
  <si>
    <t>Cl. 3 # 10-74, COMUNA 3, Cali, Valle del Cauca, Colombia</t>
  </si>
  <si>
    <t>Cl. 2 #10-55, COMUNA 3, Cali, Valle del Cauca, Colombia</t>
  </si>
  <si>
    <t>Cl. 4 #9-39, COMUNA 3, Cali, Valle del Cauca, Colombia</t>
  </si>
  <si>
    <t>Cl. 3 # 9-48, COMUNA 3, Cali, Valle del Cauca, Colombia</t>
  </si>
  <si>
    <t>Cl. 2 #4-80, COMUNA 3, Cali, Valle del Cauca, Colombia</t>
  </si>
  <si>
    <t>Cl. 1 # 4-79, COMUNA 3, Cali, Valle del Cauca, Colombia</t>
  </si>
  <si>
    <t>Cl. 3 # 4-47, COMUNA 3, Cali, Valle del Cauca, Colombia</t>
  </si>
  <si>
    <t>Cl. 2b Oe. #10-19, San Cayetano, Cali, Valle del Cauca, Colombia</t>
  </si>
  <si>
    <t>Cl. 4 #6-56, COMUNA 3, Cali, Valle del Cauca, Colombia</t>
  </si>
  <si>
    <t>Cl. 3 # 6-25, COMUNA 3, Cali, Valle del Cauca, Colombia</t>
  </si>
  <si>
    <t>Cl. 4 #5-42, COMUNA 3, Cali, Valle del Cauca, Colombia</t>
  </si>
  <si>
    <t>Cl. 3 #5-7, COMUNA 3, Cali, Valle del Cauca, Colombia</t>
  </si>
  <si>
    <t>Cl. 1 Oe. #4b-58, COMUNA 3, Cali, Valle del Cauca, Colombia</t>
  </si>
  <si>
    <t>Cl. 2 #10-28, COMUNA 3, Cali, Valle del Cauca, Colombia</t>
  </si>
  <si>
    <t>Cl. 3 #66, COMUNA 3, Cali, Valle del Cauca, Colombia</t>
  </si>
  <si>
    <t>Cl. 2 #617, COMUNA 3, Cali, Valle del Cauca, Colombia</t>
  </si>
  <si>
    <t>Cl. 1 #4-26, COMUNA 3, Cali, Valle del Cauca, Colombia</t>
  </si>
  <si>
    <t>Cl. 1 #4-38, COMUNA 3, Cali, Valle del Cauca, Colombia</t>
  </si>
  <si>
    <t>Cl. 4 # 10-35, COMUNA 3, Cali, Valle del Cauca, Colombia</t>
  </si>
  <si>
    <t>Cl. 4 #5-35, COMUNA 3, Cali, Valle del Cauca, Colombia</t>
  </si>
  <si>
    <t>Cl. 4 #9-44, COMUNA 3, Cali, Valle del Cauca, Colombia</t>
  </si>
  <si>
    <t>Cl. 3 # 9-25, COMUNA 3, Cali, Valle del Cauca, Colombia</t>
  </si>
  <si>
    <t>Cl. 3 #5-38, COMUNA 3, Cali, Valle del Cauca, Colombia</t>
  </si>
  <si>
    <t>Cl. 4 # 6-23, COMUNA 3, Cali, Valle del Cauca, Colombia</t>
  </si>
  <si>
    <t>Cl. 4 #10-24, COMUNA 3, Cali, Valle del Cauca, Colombia</t>
  </si>
  <si>
    <t>Cl. 3 # 10-35, COMUNA 3, Cali, Valle del Cauca, Colombia</t>
  </si>
  <si>
    <t>Cl. 1 Oe. #4-12, COMUNA 3, Cali, Valle del Cauca, Colombia</t>
  </si>
  <si>
    <t>Cl. 2 #4-75, COMUNA 3, Cali, Valle del Cauca, Colombia</t>
  </si>
  <si>
    <t>Cl. 5 #4-36, COMUNA 3, Cali, Valle del Cauca, Colombia</t>
  </si>
  <si>
    <t>KR 10 #2-62, COMUNA 3, Cali, Valle del Cauca, Colombia</t>
  </si>
  <si>
    <t>KR 12 # 2-67, COMUNA 3, Cali, Valle del Cauca, Colombia</t>
  </si>
  <si>
    <t>KR 9 #4-68 apto 101, COMUNA 3, Cali, Valle del Cauca, Colombia</t>
  </si>
  <si>
    <t>KR 10 #4-57, COMUNA 3, Cali, Valle del Cauca, Colombia</t>
  </si>
  <si>
    <t>KR 9 # 2-70, COMUNA 3, Cali, Valle del Cauca, Colombia</t>
  </si>
  <si>
    <t>KR 10 #2-59, COMUNA 3, Cali, Valle del Cauca, Colombia</t>
  </si>
  <si>
    <t>KR 10 #2 - 15, COMUNA 3, Cali, Valle del Cauca, Colombia</t>
  </si>
  <si>
    <t>KR 4 # 1-86, COMUNA 3, Cali, Valle del Cauca, Colombia</t>
  </si>
  <si>
    <t>KR 6 #51, COMUNA 3, Cali, Valle del Cauca, Colombia</t>
  </si>
  <si>
    <t>KR 5 #3 39, COMUNA 3, Cali, Valle del Cauca, Colombia</t>
  </si>
  <si>
    <t>KR 12 #2B-12, COMUNA 3, Cali, Valle del Cauca, Colombia</t>
  </si>
  <si>
    <t>KR 6 # 3-56, COMUNA 3, Cali, Valle del Cauca, Colombia</t>
  </si>
  <si>
    <t>KR 9 #3-45 apto 101, COMUNA 3, Cali, Valle del Cauca, Colombia</t>
  </si>
  <si>
    <t>KR 9 #1-07, COMUNA 3, Cali, Valle del Cauca, Colombia</t>
  </si>
  <si>
    <t>KR 5 # 3-72, COMUNA 3, Cali, Valle del Cauca, Colombia</t>
  </si>
  <si>
    <t>KR 6 #3-56, COMUNA 3, Cali, Valle del Cauca, Colombia</t>
  </si>
  <si>
    <t>KR 9 # 1-20, San Cayetano, Cali, Valle del Cauca, Colombia</t>
  </si>
  <si>
    <t>KR 10 # 1-11, COMUNA 3, Cali, Valle del Cauca, Colombia</t>
  </si>
  <si>
    <t>KR 10 # 1-39, COMUNA 3, Cali, Valle del Cauca, Colombia</t>
  </si>
  <si>
    <t>KR 5 # 4-35, COMUNA 3, Cali, Valle del Cauca, Colombia</t>
  </si>
  <si>
    <t>KR 12 # 1 - 67, San Cayetano, Cali, Valle del Cauca, Colombia</t>
  </si>
  <si>
    <t>KR 6 #2-70, COMUNA 3, Cali, Valle del Cauca, Colombia</t>
  </si>
  <si>
    <t>KR 9 #2-59, COMUNA 3, Cali, Valle del Cauca, Colombia</t>
  </si>
  <si>
    <t>KR 10 #1 Oeste-1 a 1 Oeste-131, San Cayetano, Cali, Valle del Cauca, Colombia</t>
  </si>
  <si>
    <t>KR 12 # 2 OESTE-2, San Cayetano, Cali, Valle del Cauca, Colombia</t>
  </si>
  <si>
    <t>KR 10 #1165, San Cayetano, Cali, Valle del Cauca, Colombia</t>
  </si>
  <si>
    <t>KR 10 #4-62, COMUNA 3, Cali, Valle del Cauca, Colombia</t>
  </si>
  <si>
    <t>KR 12 #4-47, COMUNA 3, Cali, Valle del Cauca, Colombia</t>
  </si>
  <si>
    <t>KR 5 #455, COMUNA 3, Cali, Valle del Cauca, Colombia</t>
  </si>
  <si>
    <t>KR 6 #4-41, COMUNA 3, Cali, Valle del Cauca, Colombia</t>
  </si>
  <si>
    <t>KR 9 #3 -54, COMUNA 3, Cali, Valle del Cauca, Colombia</t>
  </si>
  <si>
    <t>KR 10 #3-47, COMUNA 3, Cali, Valle del Cauca, Colombia</t>
  </si>
  <si>
    <t>KR 5 #2-102, COMUNA 3, Cali, Valle del Cauca, Colombia</t>
  </si>
  <si>
    <t>KR 6 #2-85, COMUNA 3, Cali, Valle del Cauca, Colombia</t>
  </si>
  <si>
    <t>KR 5 #No. 2-32, COMUNA 3, Buenaventura, Cali, Valle del Cauca, Colombia</t>
  </si>
  <si>
    <t>KR 6 # 4-56, COMUNA 3, Cali, Valle del Cauca, Colombia</t>
  </si>
  <si>
    <t>KR 9 #443, COMUNA 3, Cali, Valle del Cauca, Colombia</t>
  </si>
  <si>
    <t>KR 10 # 3-50, COMUNA 3, Cali, Valle del Cauca, Colombia</t>
  </si>
  <si>
    <t>KR 12 #3-59, COMUNA 3, Cali, Valle del Cauca, Colombia</t>
  </si>
  <si>
    <t>KR 5 #1-18, COMUNA 3, Cali, Valle del Cauca, Colombia</t>
  </si>
  <si>
    <t>KR 6 # 1-21, COMUNA 3, Cali, Valle del Cauca, Colombia</t>
  </si>
  <si>
    <t>KR 6 #101, COMUNA 3, Cali, Valle del Cauca, Colombia</t>
  </si>
  <si>
    <t>KR 4 #1-40, COMUNA 3, Popayán, Cali, Valle del Cauca, Colombia</t>
  </si>
  <si>
    <t>KR 5 # 2-131, COMUNA 3, Cali, Valle del Cauca, Colombia</t>
  </si>
  <si>
    <t>KR 5 #2-79, COMUNA 3, Cali, Valle del Cauca, Colombia</t>
  </si>
  <si>
    <t>KR 13 # 4-57, COMUNA 3, Cali, Valle del Cauca, Colombia</t>
  </si>
  <si>
    <t>KR 10 #1-83, San Cayetano, Cali, Valle del Cauca, Colombia</t>
  </si>
  <si>
    <t>KR 10 &amp;, Cl. 1, COMUNA 3, Cali, Valle del Cauca, Colombia</t>
  </si>
  <si>
    <t>NINGUNO</t>
  </si>
  <si>
    <t>2 OESTE</t>
  </si>
  <si>
    <t>CONOS</t>
  </si>
  <si>
    <t>12A</t>
  </si>
  <si>
    <t>2A</t>
  </si>
  <si>
    <t>2B</t>
  </si>
  <si>
    <t>4B</t>
  </si>
  <si>
    <t>GRANADA</t>
  </si>
  <si>
    <t>SAN ANTONIO</t>
  </si>
  <si>
    <t>CENTENARIO</t>
  </si>
  <si>
    <t>Longitud de Cajón estándar</t>
  </si>
  <si>
    <t>metros</t>
  </si>
  <si>
    <t>Capacidad de autos en un cajón</t>
  </si>
  <si>
    <t>Capacidad de motos en un cajón</t>
  </si>
  <si>
    <t>fa</t>
  </si>
  <si>
    <t>fm</t>
  </si>
  <si>
    <t>Cajones de motos</t>
  </si>
  <si>
    <t>Cajones totales</t>
  </si>
  <si>
    <t>Cajones de autos</t>
  </si>
  <si>
    <t>Porcentaje de autos</t>
  </si>
  <si>
    <t>Porcentaje de motos</t>
  </si>
  <si>
    <t>Proporción cajones de motos</t>
  </si>
  <si>
    <t>Proporción objetivo cap de autos</t>
  </si>
  <si>
    <t>Proporción objetivo cap de motos</t>
  </si>
  <si>
    <t>Capacidad de motos</t>
  </si>
  <si>
    <t>Capacidad de autos</t>
  </si>
  <si>
    <t>V-A-B</t>
  </si>
  <si>
    <t>03020010-1</t>
  </si>
  <si>
    <t>Colombia</t>
  </si>
  <si>
    <t>Cra. 2 # 1-60, Normandia Sebastian de Belalcazar, Cali, Valle del Cauca, Colombia</t>
  </si>
  <si>
    <t>03020010-2</t>
  </si>
  <si>
    <t>Cl. 2 #210, Normandia Sebastian de Belalcazar, Cali, Valle del Cauca, Colombia</t>
  </si>
  <si>
    <t>03020010-3</t>
  </si>
  <si>
    <t>Cra. 3 # 1-49, Normandia Sebastian de Belalcazar, Cali, Valle del Cauca, Colombia</t>
  </si>
  <si>
    <t>03020010-4</t>
  </si>
  <si>
    <t>Cl. 1 Oe. #2-38, Normandia Sebastian de Belalcazar, Cali, Valle del Cauca, Colombia</t>
  </si>
  <si>
    <t>03020014-1</t>
  </si>
  <si>
    <t>3 Oeste</t>
  </si>
  <si>
    <t>3A</t>
  </si>
  <si>
    <t>Carrera 3 Oeste #4 Oeste-29, Normandia Sebastian de Belalcazar, Cali, Valle del Cauca, Colombia</t>
  </si>
  <si>
    <t>03020014-2</t>
  </si>
  <si>
    <t>3a</t>
  </si>
  <si>
    <t>Cl. 4 Oe. #338, Normandia Sebastian de Belalcazar, Cali, Valle del Cauca, Colombia</t>
  </si>
  <si>
    <t>03020014-3</t>
  </si>
  <si>
    <t>Cra. 3A Oe. #432, Normandia Sebastian de Belalcazar, Cali, Valle del Cauca, Colombia</t>
  </si>
  <si>
    <t>03020014-4</t>
  </si>
  <si>
    <t>Cl. 5 Oe. #349, Normandia Sebastian de Belalcazar, Cali, Valle del Cauca, Colombia</t>
  </si>
  <si>
    <t>03020006-3</t>
  </si>
  <si>
    <t>2a</t>
  </si>
  <si>
    <t>Cra. 2 #1-35, Normandia Sebastian de Belalcazar, Cali, Valle del Cauca, Colombia</t>
  </si>
  <si>
    <t>03020006-4</t>
  </si>
  <si>
    <t>Calle 5, Arboleda, La Vega, República Dominicana, Normandia Sebastian de Belalcazar, Cali, Valle del Cauca, Colombia</t>
  </si>
  <si>
    <t>03020013-1</t>
  </si>
  <si>
    <t>Fuente</t>
  </si>
  <si>
    <t>El</t>
  </si>
  <si>
    <t>Cl. 3 Oe. #3-20, Normandia Sebastian de Belalcazar, Cali, Valle del Cauca, Colombia</t>
  </si>
  <si>
    <t>03020013-2</t>
  </si>
  <si>
    <t>N/A</t>
  </si>
  <si>
    <t>03020013-3</t>
  </si>
  <si>
    <t>3B</t>
  </si>
  <si>
    <t>Cra. 3A Oe. #349, Normandia Sebastian de Belalcazar, Cali, Valle del Cauca, Colombia</t>
  </si>
  <si>
    <t>03020013-4</t>
  </si>
  <si>
    <t>Cl. 4 Oe. #3-46, Normandia Sebastian de Belalcazar, Cali, Valle del Cauca, Colombia</t>
  </si>
  <si>
    <t>03020004-2</t>
  </si>
  <si>
    <t>Cl. 2 Oe. #1-68, Normandia Sebastian de Belalcazar, Cali, Valle del Cauca, Colombia</t>
  </si>
  <si>
    <t>03020004-3</t>
  </si>
  <si>
    <t>Cra. 2 # 2 OESTE-23, Normandia Sebastian de Belalcazar, Cali, Valle del Cauca, Colombia</t>
  </si>
  <si>
    <t>03020018-1</t>
  </si>
  <si>
    <t>Cl. 3a Oe. #2-17, Normandia Sebastian de Belalcazar, Cali, Valle del Cauca, Colombia</t>
  </si>
  <si>
    <t>03020018-4</t>
  </si>
  <si>
    <t>Cra. 3A Oe. # 2 OESTE-65, Normandia Sebastian de Belalcazar, Cali, Valle del Cauca, Colombia</t>
  </si>
  <si>
    <t>03020003-1</t>
  </si>
  <si>
    <t>Cra. 2 #1-55, Normandia Sebastian de Belalcazar, Cali, Valle del Cauca, Colombia</t>
  </si>
  <si>
    <t>03020003-2</t>
  </si>
  <si>
    <t>Cl. 2 Oe. # 2-14, Normandia Sebastian de Belalcazar, Cali, Valle del Cauca, Colombia</t>
  </si>
  <si>
    <t>03020003-3</t>
  </si>
  <si>
    <t>Cra. 3 #2-26, Normandia Sebastian de Belalcazar, Cali, Valle del Cauca, Colombia</t>
  </si>
  <si>
    <t>03020003-4</t>
  </si>
  <si>
    <t>Cl. 3 Oe. #1-50 201, Normandia Sebastian de Belalcazar, Cali, Valle del Cauca, Colombia</t>
  </si>
  <si>
    <t>03020012-1</t>
  </si>
  <si>
    <t>Cl. 3 Oe. #3-13, Normandia Sebastian de Belalcazar, Cali, Valle del Cauca, Colombia</t>
  </si>
  <si>
    <t>03020012-2</t>
  </si>
  <si>
    <t>Cl. 2 Oe. #3-22, Normandia Sebastian de Belalcazar, Cali, Valle del Cauca, Colombia</t>
  </si>
  <si>
    <t>03020012-3</t>
  </si>
  <si>
    <t>Cra. 3A Oe. #2 OESTE-32, Normandia Sebastian de Belalcazar, Cali, Valle del Cauca, Colombia</t>
  </si>
  <si>
    <t>03020012-4</t>
  </si>
  <si>
    <t>Cl. 3 Oe. #3-65, Normandia Sebastian de Belalcazar, Cali, Valle del Cauca, Colombia</t>
  </si>
  <si>
    <t>03020009-3</t>
  </si>
  <si>
    <t>Cra. 3 # 2-59, Normandia Sebastian de Belalcazar, Cali, Valle del Cauca, Colombia</t>
  </si>
  <si>
    <t>03020009-4</t>
  </si>
  <si>
    <t>Cl. 2 # 2-65, Normandia Sebastian de Belalcazar, Cali, Valle del Cauca, Colombia</t>
  </si>
  <si>
    <t>03020017-1</t>
  </si>
  <si>
    <t>Cra. 3A Oe. #3-47, Normandia Sebastian de Belalcazar, Cali, Valle del Cauca, Colombia</t>
  </si>
  <si>
    <t>03020017-2</t>
  </si>
  <si>
    <t>Cl. 3 Oe. #4-65, Normandia Sebastian de Belalcazar, Cali, Valle del Cauca, Colombia</t>
  </si>
  <si>
    <t>03020017-3</t>
  </si>
  <si>
    <t>Cra 3B Oe. #322, Normandia Sebastian de Belalcazar, Cali, Valle del Cauca, Colombia</t>
  </si>
  <si>
    <t>03020017-4</t>
  </si>
  <si>
    <t>Cl. 4 Oe. #3A-39, Normandia Sebastian de Belalcazar, Cali, Valle del Cauca, Colombia</t>
  </si>
  <si>
    <t>03020005-3</t>
  </si>
  <si>
    <t>Cra. 2 Oe. #1-38, Normandia Sebastian de Belalcazar, Cali, Valle del Cauca, Colombia</t>
  </si>
  <si>
    <t>03020005-4</t>
  </si>
  <si>
    <t>760000,</t>
  </si>
  <si>
    <t>Normandia</t>
  </si>
  <si>
    <t>Cl. 2 Oe. # 1-45, Normandia Sebastian de Belalcazar, Cali, Valle del Cauca, Colombia</t>
  </si>
  <si>
    <t>03020022-3</t>
  </si>
  <si>
    <t>a 2-66, Cl. 2a #2-48, Normandia Sebastian de Belalcazar, Cali, Valle del Cauca, Colombia</t>
  </si>
  <si>
    <t>03020002-2</t>
  </si>
  <si>
    <t>Cl. 3 Oe. #1-38, Normandia Sebastian de Belalcazar, Cali, Valle del Cauca, Colombia</t>
  </si>
  <si>
    <t>03020002-3</t>
  </si>
  <si>
    <t>03</t>
  </si>
  <si>
    <t>oeste</t>
  </si>
  <si>
    <t>03 oeste - 08, Cra. 3, Normandia Sebastian de Belalcazar, Cali, Valle del Cauca, Colombia</t>
  </si>
  <si>
    <t>03020002-4</t>
  </si>
  <si>
    <t>Cl. 4 Oe. #1-25, Normandia Sebastian de Belalcazar, Cali, Valle del Cauca, Colombia</t>
  </si>
  <si>
    <t>03020015-1</t>
  </si>
  <si>
    <t>Cra. 3A Oe. # 4 OESTE-7, Normandia Sebastian de Belalcazar, Cali, Valle del Cauca, Colombia</t>
  </si>
  <si>
    <t>03020015-2</t>
  </si>
  <si>
    <t>Cl. 4 Oe. # 3A-50, Normandia Sebastian de Belalcazar, Cali, Valle del Cauca, Colombia</t>
  </si>
  <si>
    <t>03020015-4</t>
  </si>
  <si>
    <t>Cl. 5 Oe. # 3A - 35, Normandia Sebastian de Belalcazar, Cali, Valle del Cauca, Colombia</t>
  </si>
  <si>
    <t>03020001-2</t>
  </si>
  <si>
    <t>Cl. 4 Oe. #1-28, Normandia Sebastian de Belalcazar, Cali, Valle del Cauca, Colombia</t>
  </si>
  <si>
    <t>03020001-3</t>
  </si>
  <si>
    <t>Cl. 3 Oe. #4-16, Normandia Sebastian de Belalcazar, Cali, Valle del Cauca, Colombia</t>
  </si>
  <si>
    <t>03020001-4</t>
  </si>
  <si>
    <t>Cl. 5 Oe. # 1-15, Normandia Sebastian de Belalcazar, Cali, Valle del Cauca, Colombia</t>
  </si>
  <si>
    <t>03020019-1</t>
  </si>
  <si>
    <t>Edificio</t>
  </si>
  <si>
    <t>varela,</t>
  </si>
  <si>
    <t>Edificio varela, Cra. 3 #1 - 11 Apartamento 301, Normandia Sebastian de Belalcazar, Cali, Valle del Cauca, Colombia</t>
  </si>
  <si>
    <t>03020019-2</t>
  </si>
  <si>
    <t>Cra. 3 # 1-60, Normandia Sebastian de Belalcazar, Cali, Valle del Cauca, Colombia</t>
  </si>
  <si>
    <t>03020019-4</t>
  </si>
  <si>
    <t>Cl. 2 Oe. # 4-116, Normandia Sebastian de Belalcazar, Cali, Valle del Cauca, Colombia</t>
  </si>
  <si>
    <t>03020011-1</t>
  </si>
  <si>
    <t>Cl. 2 Oe. #1 55, Normandia Sebastian de Belalcazar, Cali, Valle del Cauca, Colombia</t>
  </si>
  <si>
    <t>03020011-2</t>
  </si>
  <si>
    <t>Cl. 1 Oe. #2-18, Normandia Sebastian de Belalcazar, Cali, Valle del Cauca, Colombia</t>
  </si>
  <si>
    <t>03020011-3</t>
  </si>
  <si>
    <t>Cra. 3 #1-32 Local 102, Normandia Sebastian de Belalcazar, Cali, Valle del Cauca, Colombia</t>
  </si>
  <si>
    <t>03020011-4</t>
  </si>
  <si>
    <t>Cl. 2 Oe. # 2-41, Normandia Sebastian de Belalcazar, Cali, Valle del Cauca, Colombia</t>
  </si>
  <si>
    <t>03020005-2</t>
  </si>
  <si>
    <t>Cl. 1 Oe. #1-2 a 1-70, Normandia Sebastian de Belalcazar, Cali, Valle del Cauca, Colombia</t>
  </si>
  <si>
    <t>EL PEÑON</t>
  </si>
  <si>
    <t>03160001-1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</si>
</sst>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%"/>
  </numFmts>
  <fonts count="8" x14ac:knownFonts="1">
    <font>
      <sz val="10"/>
      <color rgb="FF000000"/>
      <name val="Arial"/>
      <scheme val="minor"/>
    </font>
    <font>
      <b/>
      <sz val="9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B0F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4" fillId="0" borderId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2" fontId="2" fillId="3" borderId="0" xfId="0" applyNumberFormat="1" applyFont="1" applyFill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2" fontId="1" fillId="2" borderId="2" xfId="0" applyNumberFormat="1" applyFont="1" applyFill="1" applyBorder="1" applyAlignment="1">
      <alignment horizontal="center" vertical="top" wrapText="1"/>
    </xf>
    <xf numFmtId="2" fontId="1" fillId="2" borderId="3" xfId="0" applyNumberFormat="1" applyFont="1" applyFill="1" applyBorder="1" applyAlignment="1">
      <alignment horizontal="center" vertical="top" wrapText="1"/>
    </xf>
    <xf numFmtId="2" fontId="1" fillId="4" borderId="3" xfId="0" applyNumberFormat="1" applyFont="1" applyFill="1" applyBorder="1" applyAlignment="1">
      <alignment horizontal="center" vertical="top" wrapText="1"/>
    </xf>
    <xf numFmtId="0" fontId="0" fillId="0" borderId="4" xfId="0" applyBorder="1"/>
    <xf numFmtId="9" fontId="0" fillId="0" borderId="4" xfId="0" applyNumberFormat="1" applyBorder="1"/>
    <xf numFmtId="0" fontId="4" fillId="0" borderId="5" xfId="0" applyFont="1" applyBorder="1"/>
    <xf numFmtId="0" fontId="0" fillId="0" borderId="6" xfId="0" applyBorder="1"/>
    <xf numFmtId="0" fontId="4" fillId="0" borderId="7" xfId="0" applyFont="1" applyBorder="1"/>
    <xf numFmtId="0" fontId="4" fillId="0" borderId="8" xfId="0" applyFont="1" applyBorder="1"/>
    <xf numFmtId="0" fontId="0" fillId="0" borderId="9" xfId="0" applyBorder="1"/>
    <xf numFmtId="0" fontId="4" fillId="0" borderId="10" xfId="0" applyFont="1" applyBorder="1"/>
    <xf numFmtId="0" fontId="0" fillId="0" borderId="12" xfId="0" applyBorder="1"/>
    <xf numFmtId="2" fontId="1" fillId="2" borderId="0" xfId="0" applyNumberFormat="1" applyFont="1" applyFill="1" applyAlignment="1">
      <alignment horizontal="center" vertical="top" wrapText="1"/>
    </xf>
    <xf numFmtId="9" fontId="0" fillId="5" borderId="11" xfId="0" applyNumberFormat="1" applyFill="1" applyBorder="1"/>
    <xf numFmtId="165" fontId="0" fillId="0" borderId="0" xfId="1" applyNumberFormat="1" applyFont="1"/>
    <xf numFmtId="2" fontId="1" fillId="4" borderId="0" xfId="0" applyNumberFormat="1" applyFont="1" applyFill="1" applyAlignment="1">
      <alignment horizontal="center" vertical="top" wrapText="1"/>
    </xf>
    <xf numFmtId="2" fontId="1" fillId="0" borderId="0" xfId="0" applyNumberFormat="1" applyFont="1" applyAlignment="1">
      <alignment horizontal="center" vertical="top" wrapText="1"/>
    </xf>
    <xf numFmtId="0" fontId="4" fillId="0" borderId="0" xfId="2"/>
    <xf numFmtId="0" fontId="4" fillId="0" borderId="0" xfId="2" applyAlignment="1">
      <alignment horizontal="center"/>
    </xf>
    <xf numFmtId="0" fontId="2" fillId="0" borderId="0" xfId="2" applyFont="1" applyAlignment="1">
      <alignment horizontal="center"/>
    </xf>
    <xf numFmtId="2" fontId="2" fillId="0" borderId="0" xfId="2" applyNumberFormat="1" applyFont="1" applyAlignment="1">
      <alignment horizontal="center"/>
    </xf>
    <xf numFmtId="0" fontId="0" fillId="6" borderId="0" xfId="0" applyFill="1" applyAlignment="1">
      <alignment horizontal="center"/>
    </xf>
    <xf numFmtId="164" fontId="0" fillId="0" borderId="0" xfId="1" applyNumberFormat="1" applyFont="1" applyAlignment="1">
      <alignment horizontal="center"/>
    </xf>
  </cellXfs>
  <cellStyles count="3">
    <cellStyle name="Normal" xfId="0" builtinId="0"/>
    <cellStyle name="Normal 2" xfId="2" xr:uid="{7CCF3A5A-1A98-4D26-8E5D-C33A9BF1C94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0DCC4-E685-4A60-988F-2757011391D9}">
  <dimension ref="A1:AK238"/>
  <sheetViews>
    <sheetView tabSelected="1" zoomScale="175" zoomScaleNormal="175" workbookViewId="0">
      <pane ySplit="1" topLeftCell="A2" activePane="bottomLeft" state="frozen"/>
      <selection pane="bottomLeft" activeCell="F13" sqref="F13"/>
    </sheetView>
  </sheetViews>
  <sheetFormatPr defaultColWidth="8.85546875" defaultRowHeight="12.75" x14ac:dyDescent="0.2"/>
  <cols>
    <col min="1" max="1" width="16.42578125" customWidth="1"/>
    <col min="4" max="4" width="13.42578125" customWidth="1"/>
    <col min="6" max="6" width="12.7109375" bestFit="1" customWidth="1"/>
    <col min="13" max="13" width="14.42578125" bestFit="1" customWidth="1"/>
    <col min="25" max="27" width="8.85546875" style="3"/>
    <col min="28" max="29" width="9.140625" style="34"/>
    <col min="30" max="31" width="10.42578125" style="3" customWidth="1"/>
    <col min="34" max="34" width="31.28515625" customWidth="1"/>
    <col min="35" max="35" width="8.28515625" customWidth="1"/>
  </cols>
  <sheetData>
    <row r="1" spans="1:37" ht="70.5" customHeight="1" thickBot="1" x14ac:dyDescent="0.25">
      <c r="A1" s="11" t="s">
        <v>0</v>
      </c>
      <c r="B1" s="12" t="s">
        <v>252</v>
      </c>
      <c r="C1" s="12" t="s">
        <v>19</v>
      </c>
      <c r="D1" s="15" t="s">
        <v>18</v>
      </c>
      <c r="E1" s="12" t="s">
        <v>1</v>
      </c>
      <c r="F1" s="12" t="s">
        <v>2</v>
      </c>
      <c r="G1" s="12" t="s">
        <v>3</v>
      </c>
      <c r="H1" s="12" t="s">
        <v>4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9</v>
      </c>
      <c r="N1" s="12" t="s">
        <v>10</v>
      </c>
      <c r="O1" s="12" t="s">
        <v>11</v>
      </c>
      <c r="P1" s="12" t="s">
        <v>12</v>
      </c>
      <c r="Q1" s="12" t="s">
        <v>13</v>
      </c>
      <c r="R1" s="12" t="s">
        <v>14</v>
      </c>
      <c r="S1" s="12" t="s">
        <v>15</v>
      </c>
      <c r="T1" s="12" t="s">
        <v>258</v>
      </c>
      <c r="U1" s="12" t="s">
        <v>16</v>
      </c>
      <c r="V1" s="12" t="s">
        <v>17</v>
      </c>
      <c r="W1" s="13" t="s">
        <v>259</v>
      </c>
      <c r="X1" s="14" t="s">
        <v>265</v>
      </c>
      <c r="Y1" s="25" t="s">
        <v>360</v>
      </c>
      <c r="Z1" s="25" t="s">
        <v>359</v>
      </c>
      <c r="AA1" s="25" t="s">
        <v>361</v>
      </c>
      <c r="AB1" s="28" t="s">
        <v>367</v>
      </c>
      <c r="AC1" s="28" t="s">
        <v>368</v>
      </c>
      <c r="AD1" s="29" t="s">
        <v>363</v>
      </c>
      <c r="AE1" s="29" t="s">
        <v>362</v>
      </c>
    </row>
    <row r="2" spans="1:37" x14ac:dyDescent="0.2">
      <c r="A2" s="1" t="s">
        <v>33</v>
      </c>
      <c r="D2" t="s">
        <v>350</v>
      </c>
      <c r="E2" s="3" t="s">
        <v>20</v>
      </c>
      <c r="F2" s="1" t="s">
        <v>219</v>
      </c>
      <c r="G2" s="1" t="s">
        <v>31</v>
      </c>
      <c r="H2" s="1" t="s">
        <v>215</v>
      </c>
      <c r="I2" s="1" t="s">
        <v>31</v>
      </c>
      <c r="J2" s="1" t="s">
        <v>213</v>
      </c>
      <c r="K2" s="1" t="s">
        <v>211</v>
      </c>
      <c r="L2" s="1" t="s">
        <v>29</v>
      </c>
      <c r="M2" s="6" t="s">
        <v>245</v>
      </c>
      <c r="N2" s="1" t="s">
        <v>26</v>
      </c>
      <c r="O2" s="1" t="s">
        <v>343</v>
      </c>
      <c r="P2" s="1" t="s">
        <v>23</v>
      </c>
      <c r="Q2" s="1"/>
      <c r="R2" s="1">
        <v>2</v>
      </c>
      <c r="S2" s="6" t="s">
        <v>238</v>
      </c>
      <c r="T2" s="2">
        <v>77.400000000000006</v>
      </c>
      <c r="U2" s="1"/>
      <c r="W2" s="8">
        <f t="shared" ref="W2:W33" si="0">T2-4*U2</f>
        <v>77.400000000000006</v>
      </c>
      <c r="Y2" s="3">
        <f>_xlfn.FLOOR.MATH(W2/$AI$2)</f>
        <v>15</v>
      </c>
      <c r="Z2" s="3">
        <f>ROUND(Y2*$AI$8,0)</f>
        <v>1</v>
      </c>
      <c r="AA2" s="3">
        <f>Y2-Z2</f>
        <v>14</v>
      </c>
      <c r="AB2" s="34">
        <f>Z2*$AI$4</f>
        <v>5</v>
      </c>
      <c r="AC2" s="34">
        <f>AA2*$AI$3</f>
        <v>14</v>
      </c>
      <c r="AD2" s="35">
        <f>AB2/(AB2+AC2)</f>
        <v>0.26315789473684209</v>
      </c>
      <c r="AE2" s="35">
        <f>AC2/(AB2+AC2)</f>
        <v>0.73684210526315785</v>
      </c>
      <c r="AH2" s="18" t="s">
        <v>353</v>
      </c>
      <c r="AI2" s="19">
        <v>5</v>
      </c>
      <c r="AJ2" s="20" t="s">
        <v>354</v>
      </c>
    </row>
    <row r="3" spans="1:37" x14ac:dyDescent="0.2">
      <c r="A3" s="1" t="s">
        <v>34</v>
      </c>
      <c r="D3" t="s">
        <v>350</v>
      </c>
      <c r="E3" s="5" t="s">
        <v>31</v>
      </c>
      <c r="F3" s="6" t="s">
        <v>213</v>
      </c>
      <c r="G3" s="6" t="s">
        <v>20</v>
      </c>
      <c r="H3" s="6" t="s">
        <v>219</v>
      </c>
      <c r="I3" s="6" t="s">
        <v>20</v>
      </c>
      <c r="J3" s="6" t="s">
        <v>220</v>
      </c>
      <c r="K3" s="6" t="s">
        <v>233</v>
      </c>
      <c r="L3" s="6" t="s">
        <v>29</v>
      </c>
      <c r="M3" s="1" t="s">
        <v>245</v>
      </c>
      <c r="N3" s="1" t="s">
        <v>26</v>
      </c>
      <c r="O3" s="1" t="s">
        <v>343</v>
      </c>
      <c r="P3" s="1" t="s">
        <v>28</v>
      </c>
      <c r="Q3" s="1"/>
      <c r="R3" s="1">
        <v>3</v>
      </c>
      <c r="S3" s="6" t="s">
        <v>238</v>
      </c>
      <c r="T3" s="2">
        <v>61.3</v>
      </c>
      <c r="U3" s="1"/>
      <c r="W3" s="8">
        <f t="shared" si="0"/>
        <v>61.3</v>
      </c>
      <c r="Y3" s="3">
        <f t="shared" ref="Y3:Y5" si="1">_xlfn.FLOOR.MATH(W3/$AI$2)</f>
        <v>12</v>
      </c>
      <c r="Z3" s="3">
        <f t="shared" ref="Z3:Z66" si="2">ROUND(Y3*$AI$8,0)</f>
        <v>1</v>
      </c>
      <c r="AA3" s="3">
        <f t="shared" ref="AA3:AA5" si="3">Y3-Z3</f>
        <v>11</v>
      </c>
      <c r="AB3" s="34">
        <f t="shared" ref="AB3:AB5" si="4">Z3*$AI$4</f>
        <v>5</v>
      </c>
      <c r="AC3" s="34">
        <f t="shared" ref="AC3:AC5" si="5">AA3*$AI$3</f>
        <v>11</v>
      </c>
      <c r="AD3" s="35">
        <f t="shared" ref="AD3" si="6">AB3/(AB3+AC3)</f>
        <v>0.3125</v>
      </c>
      <c r="AE3" s="35">
        <f t="shared" ref="AE3:AE5" si="7">AC3/(AB3+AC3)</f>
        <v>0.6875</v>
      </c>
      <c r="AH3" s="21" t="s">
        <v>355</v>
      </c>
      <c r="AI3" s="16">
        <v>1</v>
      </c>
      <c r="AJ3" s="22"/>
      <c r="AK3" s="10" t="s">
        <v>357</v>
      </c>
    </row>
    <row r="4" spans="1:37" x14ac:dyDescent="0.2">
      <c r="A4" s="1" t="s">
        <v>35</v>
      </c>
      <c r="D4" t="s">
        <v>350</v>
      </c>
      <c r="E4" s="3" t="s">
        <v>20</v>
      </c>
      <c r="F4" s="1" t="s">
        <v>220</v>
      </c>
      <c r="G4" s="1" t="s">
        <v>31</v>
      </c>
      <c r="H4" s="1" t="s">
        <v>215</v>
      </c>
      <c r="I4" s="1" t="s">
        <v>31</v>
      </c>
      <c r="J4" s="1" t="s">
        <v>213</v>
      </c>
      <c r="K4" s="1" t="s">
        <v>218</v>
      </c>
      <c r="L4" s="1" t="s">
        <v>29</v>
      </c>
      <c r="M4" s="1"/>
      <c r="N4" s="1" t="s">
        <v>26</v>
      </c>
      <c r="O4" s="1" t="s">
        <v>343</v>
      </c>
      <c r="P4" s="1"/>
      <c r="Q4" s="1"/>
      <c r="R4" s="1">
        <v>2</v>
      </c>
      <c r="S4" s="6" t="s">
        <v>238</v>
      </c>
      <c r="T4" s="2">
        <v>77.900000000000006</v>
      </c>
      <c r="U4" s="1"/>
      <c r="W4" s="8">
        <f t="shared" si="0"/>
        <v>77.900000000000006</v>
      </c>
      <c r="Y4" s="3">
        <f t="shared" si="1"/>
        <v>15</v>
      </c>
      <c r="Z4" s="3">
        <f t="shared" si="2"/>
        <v>1</v>
      </c>
      <c r="AA4" s="3">
        <f t="shared" si="3"/>
        <v>14</v>
      </c>
      <c r="AB4" s="34">
        <f t="shared" si="4"/>
        <v>5</v>
      </c>
      <c r="AC4" s="34">
        <f t="shared" si="5"/>
        <v>14</v>
      </c>
      <c r="AD4" s="35">
        <f t="shared" ref="AD4" si="8">AB4/(AB4+AC4)</f>
        <v>0.26315789473684209</v>
      </c>
      <c r="AE4" s="35">
        <f t="shared" si="7"/>
        <v>0.73684210526315785</v>
      </c>
      <c r="AH4" s="21" t="s">
        <v>356</v>
      </c>
      <c r="AI4" s="16">
        <v>5</v>
      </c>
      <c r="AJ4" s="22"/>
      <c r="AK4" s="10" t="s">
        <v>358</v>
      </c>
    </row>
    <row r="5" spans="1:37" x14ac:dyDescent="0.2">
      <c r="A5" s="1" t="s">
        <v>36</v>
      </c>
      <c r="D5" t="s">
        <v>350</v>
      </c>
      <c r="E5" s="5" t="s">
        <v>31</v>
      </c>
      <c r="F5" s="6" t="s">
        <v>215</v>
      </c>
      <c r="G5" s="6" t="s">
        <v>20</v>
      </c>
      <c r="H5" s="6" t="s">
        <v>219</v>
      </c>
      <c r="I5" s="6" t="s">
        <v>20</v>
      </c>
      <c r="J5" s="6" t="s">
        <v>220</v>
      </c>
      <c r="K5" s="6" t="s">
        <v>229</v>
      </c>
      <c r="L5" s="6" t="s">
        <v>29</v>
      </c>
      <c r="M5" s="1" t="s">
        <v>245</v>
      </c>
      <c r="N5" s="1" t="s">
        <v>26</v>
      </c>
      <c r="O5" s="1" t="s">
        <v>246</v>
      </c>
      <c r="P5" s="1" t="s">
        <v>28</v>
      </c>
      <c r="Q5" s="1"/>
      <c r="R5" s="1">
        <v>2</v>
      </c>
      <c r="S5" s="6" t="s">
        <v>238</v>
      </c>
      <c r="T5" s="2">
        <v>78.599999999999994</v>
      </c>
      <c r="U5" s="1"/>
      <c r="W5" s="8">
        <f t="shared" si="0"/>
        <v>78.599999999999994</v>
      </c>
      <c r="Y5" s="3">
        <f t="shared" si="1"/>
        <v>15</v>
      </c>
      <c r="Z5" s="3">
        <f t="shared" si="2"/>
        <v>1</v>
      </c>
      <c r="AA5" s="3">
        <f t="shared" si="3"/>
        <v>14</v>
      </c>
      <c r="AB5" s="34">
        <f t="shared" si="4"/>
        <v>5</v>
      </c>
      <c r="AC5" s="34">
        <f t="shared" si="5"/>
        <v>14</v>
      </c>
      <c r="AD5" s="35">
        <f t="shared" ref="AD5:AD68" si="9">AB5/(AB5+AC5)</f>
        <v>0.26315789473684209</v>
      </c>
      <c r="AE5" s="35">
        <f t="shared" si="7"/>
        <v>0.73684210526315785</v>
      </c>
      <c r="AH5" s="21" t="s">
        <v>365</v>
      </c>
      <c r="AI5" s="17">
        <v>0.8</v>
      </c>
      <c r="AJ5" s="22"/>
    </row>
    <row r="6" spans="1:37" ht="13.5" thickBot="1" x14ac:dyDescent="0.25">
      <c r="A6" s="1" t="s">
        <v>37</v>
      </c>
      <c r="D6" t="s">
        <v>350</v>
      </c>
      <c r="E6" s="5" t="s">
        <v>20</v>
      </c>
      <c r="F6" s="6" t="s">
        <v>220</v>
      </c>
      <c r="G6" s="6" t="s">
        <v>31</v>
      </c>
      <c r="H6" s="6" t="s">
        <v>213</v>
      </c>
      <c r="I6" s="6" t="s">
        <v>31</v>
      </c>
      <c r="J6" s="6" t="s">
        <v>216</v>
      </c>
      <c r="K6" s="6" t="s">
        <v>218</v>
      </c>
      <c r="L6" s="6" t="s">
        <v>21</v>
      </c>
      <c r="M6" s="1" t="s">
        <v>28</v>
      </c>
      <c r="N6" s="1" t="s">
        <v>24</v>
      </c>
      <c r="O6" s="1" t="s">
        <v>343</v>
      </c>
      <c r="P6" s="1" t="s">
        <v>27</v>
      </c>
      <c r="Q6" s="1"/>
      <c r="R6" s="1">
        <v>2</v>
      </c>
      <c r="S6" s="6" t="s">
        <v>238</v>
      </c>
      <c r="T6" s="2">
        <v>67.099999999999994</v>
      </c>
      <c r="U6" s="1"/>
      <c r="W6" s="8">
        <f t="shared" si="0"/>
        <v>67.099999999999994</v>
      </c>
      <c r="Y6" s="3">
        <f t="shared" ref="Y6:Y69" si="10">_xlfn.FLOOR.MATH(W6/$AI$2)</f>
        <v>13</v>
      </c>
      <c r="Z6" s="3">
        <f t="shared" si="2"/>
        <v>1</v>
      </c>
      <c r="AA6" s="3">
        <f t="shared" ref="AA6:AA69" si="11">Y6-Z6</f>
        <v>12</v>
      </c>
      <c r="AB6" s="34">
        <f t="shared" ref="AB6:AB69" si="12">Z6*$AI$4</f>
        <v>5</v>
      </c>
      <c r="AC6" s="34">
        <f t="shared" ref="AC6:AC69" si="13">AA6*$AI$3</f>
        <v>12</v>
      </c>
      <c r="AD6" s="35">
        <f t="shared" si="9"/>
        <v>0.29411764705882354</v>
      </c>
      <c r="AE6" s="35">
        <f t="shared" ref="AE6:AE69" si="14">AC6/(AB6+AC6)</f>
        <v>0.70588235294117652</v>
      </c>
      <c r="AH6" s="23" t="s">
        <v>366</v>
      </c>
      <c r="AI6" s="26">
        <f>1-AI5</f>
        <v>0.19999999999999996</v>
      </c>
      <c r="AJ6" s="24"/>
    </row>
    <row r="7" spans="1:37" x14ac:dyDescent="0.2">
      <c r="A7" s="4" t="s">
        <v>38</v>
      </c>
      <c r="D7" t="s">
        <v>350</v>
      </c>
      <c r="E7" s="5" t="s">
        <v>31</v>
      </c>
      <c r="F7" s="6" t="s">
        <v>214</v>
      </c>
      <c r="G7" s="6" t="s">
        <v>20</v>
      </c>
      <c r="H7" s="6" t="s">
        <v>220</v>
      </c>
      <c r="I7" s="6" t="s">
        <v>20</v>
      </c>
      <c r="J7" s="6" t="s">
        <v>221</v>
      </c>
      <c r="K7" s="6" t="s">
        <v>229</v>
      </c>
      <c r="L7" s="6" t="s">
        <v>21</v>
      </c>
      <c r="M7" s="1"/>
      <c r="N7" s="1" t="s">
        <v>26</v>
      </c>
      <c r="O7" s="1" t="s">
        <v>343</v>
      </c>
      <c r="P7" s="1"/>
      <c r="Q7" s="1"/>
      <c r="R7" s="1">
        <v>3</v>
      </c>
      <c r="S7" s="6" t="s">
        <v>238</v>
      </c>
      <c r="T7" s="2">
        <v>34.5</v>
      </c>
      <c r="U7" s="1"/>
      <c r="W7" s="8">
        <f t="shared" si="0"/>
        <v>34.5</v>
      </c>
      <c r="Y7" s="3">
        <f t="shared" si="10"/>
        <v>6</v>
      </c>
      <c r="Z7" s="3">
        <f t="shared" si="2"/>
        <v>0</v>
      </c>
      <c r="AA7" s="3">
        <f t="shared" si="11"/>
        <v>6</v>
      </c>
      <c r="AB7" s="34">
        <f t="shared" si="12"/>
        <v>0</v>
      </c>
      <c r="AC7" s="34">
        <f t="shared" si="13"/>
        <v>6</v>
      </c>
      <c r="AD7" s="35">
        <f t="shared" si="9"/>
        <v>0</v>
      </c>
      <c r="AE7" s="35">
        <f t="shared" si="14"/>
        <v>1</v>
      </c>
    </row>
    <row r="8" spans="1:37" x14ac:dyDescent="0.2">
      <c r="A8" s="1" t="s">
        <v>39</v>
      </c>
      <c r="D8" t="s">
        <v>350</v>
      </c>
      <c r="E8" s="5" t="s">
        <v>20</v>
      </c>
      <c r="F8" s="6" t="s">
        <v>221</v>
      </c>
      <c r="G8" s="1" t="s">
        <v>31</v>
      </c>
      <c r="H8" s="1" t="s">
        <v>213</v>
      </c>
      <c r="I8" s="1" t="s">
        <v>31</v>
      </c>
      <c r="J8" s="1" t="s">
        <v>216</v>
      </c>
      <c r="K8" s="1" t="s">
        <v>211</v>
      </c>
      <c r="L8" s="1" t="s">
        <v>21</v>
      </c>
      <c r="M8" s="1" t="s">
        <v>245</v>
      </c>
      <c r="N8" s="1" t="s">
        <v>24</v>
      </c>
      <c r="O8" s="1" t="s">
        <v>343</v>
      </c>
      <c r="P8" s="1" t="s">
        <v>28</v>
      </c>
      <c r="Q8" s="1"/>
      <c r="R8" s="1">
        <v>2</v>
      </c>
      <c r="S8" s="6" t="s">
        <v>238</v>
      </c>
      <c r="T8" s="2">
        <v>71.900000000000006</v>
      </c>
      <c r="U8" s="1"/>
      <c r="W8" s="8">
        <f t="shared" si="0"/>
        <v>71.900000000000006</v>
      </c>
      <c r="Y8" s="3">
        <f t="shared" si="10"/>
        <v>14</v>
      </c>
      <c r="Z8" s="3">
        <f t="shared" si="2"/>
        <v>1</v>
      </c>
      <c r="AA8" s="3">
        <f t="shared" si="11"/>
        <v>13</v>
      </c>
      <c r="AB8" s="34">
        <f t="shared" si="12"/>
        <v>5</v>
      </c>
      <c r="AC8" s="34">
        <f t="shared" si="13"/>
        <v>13</v>
      </c>
      <c r="AD8" s="35">
        <f t="shared" si="9"/>
        <v>0.27777777777777779</v>
      </c>
      <c r="AE8" s="35">
        <f t="shared" si="14"/>
        <v>0.72222222222222221</v>
      </c>
      <c r="AH8" s="10" t="s">
        <v>364</v>
      </c>
      <c r="AI8" s="27">
        <f>AI6*AI3/(AI4-AI6*(AI4-AI3))</f>
        <v>4.7619047619047609E-2</v>
      </c>
    </row>
    <row r="9" spans="1:37" x14ac:dyDescent="0.2">
      <c r="A9" s="1" t="s">
        <v>40</v>
      </c>
      <c r="D9" t="s">
        <v>350</v>
      </c>
      <c r="E9" s="5" t="s">
        <v>31</v>
      </c>
      <c r="F9" s="6" t="s">
        <v>213</v>
      </c>
      <c r="G9" s="6" t="s">
        <v>20</v>
      </c>
      <c r="H9" s="6" t="s">
        <v>220</v>
      </c>
      <c r="I9" s="6" t="s">
        <v>20</v>
      </c>
      <c r="J9" s="6" t="s">
        <v>221</v>
      </c>
      <c r="K9" s="6" t="s">
        <v>233</v>
      </c>
      <c r="L9" s="6" t="s">
        <v>21</v>
      </c>
      <c r="M9" s="1" t="s">
        <v>245</v>
      </c>
      <c r="N9" s="1" t="s">
        <v>26</v>
      </c>
      <c r="O9" s="1" t="s">
        <v>343</v>
      </c>
      <c r="P9" s="1" t="s">
        <v>23</v>
      </c>
      <c r="Q9" s="1"/>
      <c r="R9" s="1">
        <v>3</v>
      </c>
      <c r="S9" s="6" t="s">
        <v>238</v>
      </c>
      <c r="T9" s="2">
        <v>29.4</v>
      </c>
      <c r="U9" s="1"/>
      <c r="W9" s="8">
        <f t="shared" si="0"/>
        <v>29.4</v>
      </c>
      <c r="Y9" s="3">
        <f t="shared" si="10"/>
        <v>5</v>
      </c>
      <c r="Z9" s="3">
        <f t="shared" si="2"/>
        <v>0</v>
      </c>
      <c r="AA9" s="3">
        <f t="shared" si="11"/>
        <v>5</v>
      </c>
      <c r="AB9" s="34">
        <f t="shared" si="12"/>
        <v>0</v>
      </c>
      <c r="AC9" s="34">
        <f t="shared" si="13"/>
        <v>5</v>
      </c>
      <c r="AD9" s="35">
        <f t="shared" si="9"/>
        <v>0</v>
      </c>
      <c r="AE9" s="35">
        <f t="shared" si="14"/>
        <v>1</v>
      </c>
    </row>
    <row r="10" spans="1:37" x14ac:dyDescent="0.2">
      <c r="A10" s="1" t="s">
        <v>41</v>
      </c>
      <c r="D10" t="s">
        <v>350</v>
      </c>
      <c r="E10" s="3" t="s">
        <v>20</v>
      </c>
      <c r="F10" s="1" t="s">
        <v>217</v>
      </c>
      <c r="G10" s="1" t="s">
        <v>31</v>
      </c>
      <c r="H10" s="1" t="s">
        <v>213</v>
      </c>
      <c r="I10" s="1" t="s">
        <v>31</v>
      </c>
      <c r="J10" s="1" t="s">
        <v>216</v>
      </c>
      <c r="K10" s="1" t="s">
        <v>218</v>
      </c>
      <c r="L10" s="1" t="s">
        <v>21</v>
      </c>
      <c r="M10" s="1" t="s">
        <v>28</v>
      </c>
      <c r="N10" s="1" t="s">
        <v>26</v>
      </c>
      <c r="O10" s="1" t="s">
        <v>343</v>
      </c>
      <c r="P10" s="1" t="s">
        <v>27</v>
      </c>
      <c r="Q10" s="1"/>
      <c r="R10" s="1">
        <v>2</v>
      </c>
      <c r="S10" s="6" t="s">
        <v>238</v>
      </c>
      <c r="T10" s="2">
        <v>54.19</v>
      </c>
      <c r="U10" s="1"/>
      <c r="W10" s="8">
        <f t="shared" si="0"/>
        <v>54.19</v>
      </c>
      <c r="Y10" s="3">
        <f t="shared" si="10"/>
        <v>10</v>
      </c>
      <c r="Z10" s="3">
        <f t="shared" si="2"/>
        <v>0</v>
      </c>
      <c r="AA10" s="3">
        <f t="shared" si="11"/>
        <v>10</v>
      </c>
      <c r="AB10" s="34">
        <f t="shared" si="12"/>
        <v>0</v>
      </c>
      <c r="AC10" s="34">
        <f t="shared" si="13"/>
        <v>10</v>
      </c>
      <c r="AD10" s="35">
        <f t="shared" si="9"/>
        <v>0</v>
      </c>
      <c r="AE10" s="35">
        <f t="shared" si="14"/>
        <v>1</v>
      </c>
    </row>
    <row r="11" spans="1:37" x14ac:dyDescent="0.2">
      <c r="A11" s="1" t="s">
        <v>42</v>
      </c>
      <c r="D11" t="s">
        <v>350</v>
      </c>
      <c r="E11" s="5" t="s">
        <v>31</v>
      </c>
      <c r="F11" s="6" t="s">
        <v>214</v>
      </c>
      <c r="G11" s="6" t="s">
        <v>20</v>
      </c>
      <c r="H11" s="6" t="s">
        <v>217</v>
      </c>
      <c r="I11" s="6" t="s">
        <v>20</v>
      </c>
      <c r="J11" s="6" t="s">
        <v>219</v>
      </c>
      <c r="K11" s="6" t="s">
        <v>229</v>
      </c>
      <c r="L11" s="6" t="s">
        <v>21</v>
      </c>
      <c r="M11" s="1" t="s">
        <v>28</v>
      </c>
      <c r="N11" s="1" t="s">
        <v>26</v>
      </c>
      <c r="O11" s="1" t="s">
        <v>343</v>
      </c>
      <c r="P11" s="1" t="s">
        <v>23</v>
      </c>
      <c r="Q11" s="1"/>
      <c r="R11" s="1">
        <v>3</v>
      </c>
      <c r="S11" s="6" t="s">
        <v>238</v>
      </c>
      <c r="T11" s="2">
        <v>66.5</v>
      </c>
      <c r="U11" s="1"/>
      <c r="W11" s="8">
        <f t="shared" si="0"/>
        <v>66.5</v>
      </c>
      <c r="Y11" s="3">
        <f t="shared" si="10"/>
        <v>13</v>
      </c>
      <c r="Z11" s="3">
        <f t="shared" si="2"/>
        <v>1</v>
      </c>
      <c r="AA11" s="3">
        <f t="shared" si="11"/>
        <v>12</v>
      </c>
      <c r="AB11" s="34">
        <f t="shared" si="12"/>
        <v>5</v>
      </c>
      <c r="AC11" s="34">
        <f t="shared" si="13"/>
        <v>12</v>
      </c>
      <c r="AD11" s="35">
        <f t="shared" si="9"/>
        <v>0.29411764705882354</v>
      </c>
      <c r="AE11" s="35">
        <f t="shared" si="14"/>
        <v>0.70588235294117652</v>
      </c>
    </row>
    <row r="12" spans="1:37" x14ac:dyDescent="0.2">
      <c r="A12" s="1" t="s">
        <v>43</v>
      </c>
      <c r="D12" t="s">
        <v>350</v>
      </c>
      <c r="E12" s="3" t="s">
        <v>20</v>
      </c>
      <c r="F12" s="1" t="s">
        <v>219</v>
      </c>
      <c r="G12" s="1" t="s">
        <v>31</v>
      </c>
      <c r="H12" s="1" t="s">
        <v>213</v>
      </c>
      <c r="I12" s="1" t="s">
        <v>31</v>
      </c>
      <c r="J12" s="1" t="s">
        <v>216</v>
      </c>
      <c r="K12" s="1" t="s">
        <v>211</v>
      </c>
      <c r="L12" s="1" t="s">
        <v>21</v>
      </c>
      <c r="M12" s="1"/>
      <c r="N12" s="1" t="s">
        <v>26</v>
      </c>
      <c r="O12" s="1" t="s">
        <v>343</v>
      </c>
      <c r="P12" s="1"/>
      <c r="Q12" s="1"/>
      <c r="R12" s="1">
        <v>2</v>
      </c>
      <c r="S12" s="6" t="s">
        <v>238</v>
      </c>
      <c r="T12" s="2">
        <v>64.8</v>
      </c>
      <c r="U12" s="1"/>
      <c r="W12" s="8">
        <f t="shared" si="0"/>
        <v>64.8</v>
      </c>
      <c r="Y12" s="3">
        <f t="shared" si="10"/>
        <v>12</v>
      </c>
      <c r="Z12" s="3">
        <f t="shared" si="2"/>
        <v>1</v>
      </c>
      <c r="AA12" s="3">
        <f t="shared" si="11"/>
        <v>11</v>
      </c>
      <c r="AB12" s="34">
        <f t="shared" si="12"/>
        <v>5</v>
      </c>
      <c r="AC12" s="34">
        <f t="shared" si="13"/>
        <v>11</v>
      </c>
      <c r="AD12" s="35">
        <f t="shared" si="9"/>
        <v>0.3125</v>
      </c>
      <c r="AE12" s="35">
        <f t="shared" si="14"/>
        <v>0.6875</v>
      </c>
    </row>
    <row r="13" spans="1:37" x14ac:dyDescent="0.2">
      <c r="A13" s="1" t="s">
        <v>44</v>
      </c>
      <c r="D13" t="s">
        <v>350</v>
      </c>
      <c r="E13" s="5" t="s">
        <v>31</v>
      </c>
      <c r="F13" s="6" t="s">
        <v>213</v>
      </c>
      <c r="G13" s="6" t="s">
        <v>20</v>
      </c>
      <c r="H13" s="6" t="s">
        <v>217</v>
      </c>
      <c r="I13" s="6" t="s">
        <v>20</v>
      </c>
      <c r="J13" s="6" t="s">
        <v>219</v>
      </c>
      <c r="K13" s="6" t="s">
        <v>233</v>
      </c>
      <c r="L13" s="6" t="s">
        <v>21</v>
      </c>
      <c r="M13" s="1" t="s">
        <v>245</v>
      </c>
      <c r="N13" s="1" t="s">
        <v>26</v>
      </c>
      <c r="O13" s="1" t="s">
        <v>250</v>
      </c>
      <c r="P13" s="1" t="s">
        <v>23</v>
      </c>
      <c r="Q13" s="1"/>
      <c r="R13" s="1">
        <v>3</v>
      </c>
      <c r="S13" s="6" t="s">
        <v>238</v>
      </c>
      <c r="T13" s="2">
        <v>60.6</v>
      </c>
      <c r="U13" s="1"/>
      <c r="W13" s="8">
        <f t="shared" si="0"/>
        <v>60.6</v>
      </c>
      <c r="Y13" s="3">
        <f t="shared" si="10"/>
        <v>12</v>
      </c>
      <c r="Z13" s="3">
        <f t="shared" si="2"/>
        <v>1</v>
      </c>
      <c r="AA13" s="3">
        <f t="shared" si="11"/>
        <v>11</v>
      </c>
      <c r="AB13" s="34">
        <f t="shared" si="12"/>
        <v>5</v>
      </c>
      <c r="AC13" s="34">
        <f t="shared" si="13"/>
        <v>11</v>
      </c>
      <c r="AD13" s="35">
        <f t="shared" si="9"/>
        <v>0.3125</v>
      </c>
      <c r="AE13" s="35">
        <f t="shared" si="14"/>
        <v>0.6875</v>
      </c>
    </row>
    <row r="14" spans="1:37" x14ac:dyDescent="0.2">
      <c r="A14" s="1" t="s">
        <v>45</v>
      </c>
      <c r="D14" t="s">
        <v>350</v>
      </c>
      <c r="E14" s="5" t="s">
        <v>31</v>
      </c>
      <c r="F14" s="6" t="s">
        <v>216</v>
      </c>
      <c r="G14" s="6" t="s">
        <v>20</v>
      </c>
      <c r="H14" s="6" t="s">
        <v>212</v>
      </c>
      <c r="I14" s="6" t="s">
        <v>20</v>
      </c>
      <c r="J14" s="6" t="s">
        <v>232</v>
      </c>
      <c r="K14" s="6" t="s">
        <v>233</v>
      </c>
      <c r="L14" s="6" t="s">
        <v>21</v>
      </c>
      <c r="M14" s="1" t="s">
        <v>247</v>
      </c>
      <c r="N14" s="1" t="s">
        <v>26</v>
      </c>
      <c r="O14" s="1" t="s">
        <v>343</v>
      </c>
      <c r="P14" s="1" t="s">
        <v>23</v>
      </c>
      <c r="Q14" s="1"/>
      <c r="R14" s="1">
        <v>3</v>
      </c>
      <c r="S14" s="6" t="s">
        <v>238</v>
      </c>
      <c r="T14" s="2">
        <v>64.3</v>
      </c>
      <c r="U14" s="1"/>
      <c r="W14" s="8">
        <f t="shared" si="0"/>
        <v>64.3</v>
      </c>
      <c r="Y14" s="3">
        <f t="shared" si="10"/>
        <v>12</v>
      </c>
      <c r="Z14" s="3">
        <f t="shared" si="2"/>
        <v>1</v>
      </c>
      <c r="AA14" s="3">
        <f t="shared" si="11"/>
        <v>11</v>
      </c>
      <c r="AB14" s="34">
        <f t="shared" si="12"/>
        <v>5</v>
      </c>
      <c r="AC14" s="34">
        <f t="shared" si="13"/>
        <v>11</v>
      </c>
      <c r="AD14" s="35">
        <f t="shared" si="9"/>
        <v>0.3125</v>
      </c>
      <c r="AE14" s="35">
        <f t="shared" si="14"/>
        <v>0.6875</v>
      </c>
    </row>
    <row r="15" spans="1:37" x14ac:dyDescent="0.2">
      <c r="A15" s="1" t="s">
        <v>46</v>
      </c>
      <c r="D15" t="s">
        <v>350</v>
      </c>
      <c r="E15" s="3" t="s">
        <v>20</v>
      </c>
      <c r="F15" s="1" t="s">
        <v>221</v>
      </c>
      <c r="G15" s="1" t="s">
        <v>31</v>
      </c>
      <c r="H15" s="1" t="s">
        <v>213</v>
      </c>
      <c r="I15" s="1" t="s">
        <v>31</v>
      </c>
      <c r="J15" s="1" t="s">
        <v>216</v>
      </c>
      <c r="K15" s="1" t="s">
        <v>211</v>
      </c>
      <c r="L15" s="1" t="s">
        <v>29</v>
      </c>
      <c r="M15" s="1" t="s">
        <v>22</v>
      </c>
      <c r="N15" s="1" t="s">
        <v>24</v>
      </c>
      <c r="O15" s="1" t="s">
        <v>343</v>
      </c>
      <c r="P15" s="1" t="s">
        <v>28</v>
      </c>
      <c r="Q15" s="1"/>
      <c r="R15" s="1">
        <v>2</v>
      </c>
      <c r="S15" s="6" t="s">
        <v>238</v>
      </c>
      <c r="T15" s="2">
        <v>71.900000000000006</v>
      </c>
      <c r="U15" s="1"/>
      <c r="W15" s="8">
        <f t="shared" si="0"/>
        <v>71.900000000000006</v>
      </c>
      <c r="Y15" s="3">
        <f t="shared" si="10"/>
        <v>14</v>
      </c>
      <c r="Z15" s="3">
        <f t="shared" si="2"/>
        <v>1</v>
      </c>
      <c r="AA15" s="3">
        <f t="shared" si="11"/>
        <v>13</v>
      </c>
      <c r="AB15" s="34">
        <f t="shared" si="12"/>
        <v>5</v>
      </c>
      <c r="AC15" s="34">
        <f t="shared" si="13"/>
        <v>13</v>
      </c>
      <c r="AD15" s="35">
        <f t="shared" si="9"/>
        <v>0.27777777777777779</v>
      </c>
      <c r="AE15" s="35">
        <f t="shared" si="14"/>
        <v>0.72222222222222221</v>
      </c>
    </row>
    <row r="16" spans="1:37" x14ac:dyDescent="0.2">
      <c r="A16" s="1" t="s">
        <v>47</v>
      </c>
      <c r="D16" t="s">
        <v>350</v>
      </c>
      <c r="E16" s="5" t="s">
        <v>31</v>
      </c>
      <c r="F16" s="6" t="s">
        <v>214</v>
      </c>
      <c r="G16" s="6" t="s">
        <v>20</v>
      </c>
      <c r="H16" s="6" t="s">
        <v>221</v>
      </c>
      <c r="I16" s="6" t="s">
        <v>20</v>
      </c>
      <c r="J16" s="6" t="s">
        <v>222</v>
      </c>
      <c r="K16" s="6" t="s">
        <v>229</v>
      </c>
      <c r="L16" s="6" t="s">
        <v>21</v>
      </c>
      <c r="M16" s="1"/>
      <c r="N16" s="1" t="s">
        <v>26</v>
      </c>
      <c r="O16" s="1" t="s">
        <v>343</v>
      </c>
      <c r="P16" s="1"/>
      <c r="Q16" s="1"/>
      <c r="R16" s="1">
        <v>3</v>
      </c>
      <c r="S16" s="6" t="s">
        <v>238</v>
      </c>
      <c r="T16" s="2">
        <v>65.19</v>
      </c>
      <c r="U16" s="1"/>
      <c r="W16" s="8">
        <f t="shared" si="0"/>
        <v>65.19</v>
      </c>
      <c r="Y16" s="3">
        <f t="shared" si="10"/>
        <v>13</v>
      </c>
      <c r="Z16" s="3">
        <f t="shared" si="2"/>
        <v>1</v>
      </c>
      <c r="AA16" s="3">
        <f t="shared" si="11"/>
        <v>12</v>
      </c>
      <c r="AB16" s="34">
        <f t="shared" si="12"/>
        <v>5</v>
      </c>
      <c r="AC16" s="34">
        <f t="shared" si="13"/>
        <v>12</v>
      </c>
      <c r="AD16" s="35">
        <f t="shared" si="9"/>
        <v>0.29411764705882354</v>
      </c>
      <c r="AE16" s="35">
        <f t="shared" si="14"/>
        <v>0.70588235294117652</v>
      </c>
    </row>
    <row r="17" spans="1:31" x14ac:dyDescent="0.2">
      <c r="A17" s="1" t="s">
        <v>48</v>
      </c>
      <c r="D17" t="s">
        <v>350</v>
      </c>
      <c r="E17" s="3" t="s">
        <v>20</v>
      </c>
      <c r="F17" s="1" t="s">
        <v>222</v>
      </c>
      <c r="G17" s="1" t="s">
        <v>31</v>
      </c>
      <c r="H17" s="1" t="s">
        <v>213</v>
      </c>
      <c r="I17" s="1" t="s">
        <v>31</v>
      </c>
      <c r="J17" s="1" t="s">
        <v>214</v>
      </c>
      <c r="K17" s="1" t="s">
        <v>218</v>
      </c>
      <c r="L17" s="1" t="s">
        <v>29</v>
      </c>
      <c r="M17" s="1" t="s">
        <v>28</v>
      </c>
      <c r="N17" s="1" t="s">
        <v>26</v>
      </c>
      <c r="O17" s="1" t="s">
        <v>343</v>
      </c>
      <c r="P17" s="1" t="s">
        <v>27</v>
      </c>
      <c r="Q17" s="1"/>
      <c r="R17" s="1">
        <v>2</v>
      </c>
      <c r="S17" s="6" t="s">
        <v>238</v>
      </c>
      <c r="T17" s="2">
        <v>78.459999999999994</v>
      </c>
      <c r="U17" s="1"/>
      <c r="W17" s="8">
        <f t="shared" si="0"/>
        <v>78.459999999999994</v>
      </c>
      <c r="Y17" s="3">
        <f t="shared" si="10"/>
        <v>15</v>
      </c>
      <c r="Z17" s="3">
        <f t="shared" si="2"/>
        <v>1</v>
      </c>
      <c r="AA17" s="3">
        <f t="shared" si="11"/>
        <v>14</v>
      </c>
      <c r="AB17" s="34">
        <f t="shared" si="12"/>
        <v>5</v>
      </c>
      <c r="AC17" s="34">
        <f t="shared" si="13"/>
        <v>14</v>
      </c>
      <c r="AD17" s="35">
        <f t="shared" si="9"/>
        <v>0.26315789473684209</v>
      </c>
      <c r="AE17" s="35">
        <f t="shared" si="14"/>
        <v>0.73684210526315785</v>
      </c>
    </row>
    <row r="18" spans="1:31" x14ac:dyDescent="0.2">
      <c r="A18" s="1" t="s">
        <v>49</v>
      </c>
      <c r="D18" t="s">
        <v>350</v>
      </c>
      <c r="E18" s="5" t="s">
        <v>31</v>
      </c>
      <c r="F18" s="6" t="s">
        <v>213</v>
      </c>
      <c r="G18" s="6" t="s">
        <v>20</v>
      </c>
      <c r="H18" s="6" t="s">
        <v>221</v>
      </c>
      <c r="I18" s="6" t="s">
        <v>20</v>
      </c>
      <c r="J18" s="6" t="s">
        <v>222</v>
      </c>
      <c r="K18" s="6" t="s">
        <v>233</v>
      </c>
      <c r="L18" s="6" t="s">
        <v>21</v>
      </c>
      <c r="M18" s="1" t="s">
        <v>245</v>
      </c>
      <c r="N18" s="1" t="s">
        <v>26</v>
      </c>
      <c r="O18" s="1" t="s">
        <v>250</v>
      </c>
      <c r="P18" s="1" t="s">
        <v>23</v>
      </c>
      <c r="Q18" s="1"/>
      <c r="R18" s="1">
        <v>3</v>
      </c>
      <c r="S18" s="6" t="s">
        <v>238</v>
      </c>
      <c r="T18" s="2">
        <v>76.8</v>
      </c>
      <c r="U18" s="1"/>
      <c r="W18" s="8">
        <f t="shared" si="0"/>
        <v>76.8</v>
      </c>
      <c r="Y18" s="3">
        <f t="shared" si="10"/>
        <v>15</v>
      </c>
      <c r="Z18" s="3">
        <f t="shared" si="2"/>
        <v>1</v>
      </c>
      <c r="AA18" s="3">
        <f t="shared" si="11"/>
        <v>14</v>
      </c>
      <c r="AB18" s="34">
        <f t="shared" si="12"/>
        <v>5</v>
      </c>
      <c r="AC18" s="34">
        <f t="shared" si="13"/>
        <v>14</v>
      </c>
      <c r="AD18" s="35">
        <f t="shared" si="9"/>
        <v>0.26315789473684209</v>
      </c>
      <c r="AE18" s="35">
        <f t="shared" si="14"/>
        <v>0.73684210526315785</v>
      </c>
    </row>
    <row r="19" spans="1:31" x14ac:dyDescent="0.2">
      <c r="A19" s="1" t="s">
        <v>50</v>
      </c>
      <c r="D19" t="s">
        <v>350</v>
      </c>
      <c r="E19" s="5" t="s">
        <v>31</v>
      </c>
      <c r="F19" s="6" t="s">
        <v>216</v>
      </c>
      <c r="G19" s="6" t="s">
        <v>20</v>
      </c>
      <c r="H19" s="6" t="s">
        <v>232</v>
      </c>
      <c r="I19" s="6" t="s">
        <v>20</v>
      </c>
      <c r="J19" s="6" t="s">
        <v>219</v>
      </c>
      <c r="K19" s="6" t="s">
        <v>233</v>
      </c>
      <c r="L19" s="6" t="s">
        <v>21</v>
      </c>
      <c r="M19" s="1" t="s">
        <v>247</v>
      </c>
      <c r="N19" s="1" t="s">
        <v>26</v>
      </c>
      <c r="O19" s="1" t="s">
        <v>343</v>
      </c>
      <c r="P19" s="1" t="s">
        <v>28</v>
      </c>
      <c r="Q19" s="1"/>
      <c r="R19" s="1">
        <v>3</v>
      </c>
      <c r="S19" s="6" t="s">
        <v>238</v>
      </c>
      <c r="T19" s="2">
        <v>149.19999999999999</v>
      </c>
      <c r="U19" s="1"/>
      <c r="W19" s="8">
        <f t="shared" si="0"/>
        <v>149.19999999999999</v>
      </c>
      <c r="Y19" s="3">
        <f t="shared" si="10"/>
        <v>29</v>
      </c>
      <c r="Z19" s="3">
        <f t="shared" si="2"/>
        <v>1</v>
      </c>
      <c r="AA19" s="3">
        <f t="shared" si="11"/>
        <v>28</v>
      </c>
      <c r="AB19" s="34">
        <f t="shared" si="12"/>
        <v>5</v>
      </c>
      <c r="AC19" s="34">
        <f t="shared" si="13"/>
        <v>28</v>
      </c>
      <c r="AD19" s="35">
        <f t="shared" si="9"/>
        <v>0.15151515151515152</v>
      </c>
      <c r="AE19" s="35">
        <f t="shared" si="14"/>
        <v>0.84848484848484851</v>
      </c>
    </row>
    <row r="20" spans="1:31" x14ac:dyDescent="0.2">
      <c r="A20" s="1" t="s">
        <v>51</v>
      </c>
      <c r="D20" t="s">
        <v>350</v>
      </c>
      <c r="E20" s="3" t="s">
        <v>20</v>
      </c>
      <c r="F20" s="1" t="s">
        <v>222</v>
      </c>
      <c r="G20" s="1" t="s">
        <v>31</v>
      </c>
      <c r="H20" s="1" t="s">
        <v>213</v>
      </c>
      <c r="I20" s="1" t="s">
        <v>31</v>
      </c>
      <c r="J20" s="1" t="s">
        <v>214</v>
      </c>
      <c r="K20" s="1" t="s">
        <v>218</v>
      </c>
      <c r="L20" s="1" t="s">
        <v>21</v>
      </c>
      <c r="M20" s="1" t="s">
        <v>245</v>
      </c>
      <c r="N20" s="1" t="s">
        <v>26</v>
      </c>
      <c r="O20" s="1" t="s">
        <v>246</v>
      </c>
      <c r="P20" s="1" t="s">
        <v>23</v>
      </c>
      <c r="Q20" s="1"/>
      <c r="R20" s="1">
        <v>2</v>
      </c>
      <c r="S20" s="6" t="s">
        <v>238</v>
      </c>
      <c r="T20" s="2">
        <v>78.459999999999994</v>
      </c>
      <c r="U20" s="1"/>
      <c r="W20" s="8">
        <f t="shared" si="0"/>
        <v>78.459999999999994</v>
      </c>
      <c r="Y20" s="3">
        <f t="shared" si="10"/>
        <v>15</v>
      </c>
      <c r="Z20" s="3">
        <f t="shared" si="2"/>
        <v>1</v>
      </c>
      <c r="AA20" s="3">
        <f t="shared" si="11"/>
        <v>14</v>
      </c>
      <c r="AB20" s="34">
        <f t="shared" si="12"/>
        <v>5</v>
      </c>
      <c r="AC20" s="34">
        <f t="shared" si="13"/>
        <v>14</v>
      </c>
      <c r="AD20" s="35">
        <f t="shared" si="9"/>
        <v>0.26315789473684209</v>
      </c>
      <c r="AE20" s="35">
        <f t="shared" si="14"/>
        <v>0.73684210526315785</v>
      </c>
    </row>
    <row r="21" spans="1:31" x14ac:dyDescent="0.2">
      <c r="A21" s="1" t="s">
        <v>52</v>
      </c>
      <c r="D21" t="s">
        <v>350</v>
      </c>
      <c r="E21" s="5" t="s">
        <v>31</v>
      </c>
      <c r="F21" s="6" t="s">
        <v>214</v>
      </c>
      <c r="G21" s="6" t="s">
        <v>20</v>
      </c>
      <c r="H21" s="6" t="s">
        <v>222</v>
      </c>
      <c r="I21" s="6" t="s">
        <v>20</v>
      </c>
      <c r="J21" s="6" t="s">
        <v>225</v>
      </c>
      <c r="K21" s="6" t="s">
        <v>229</v>
      </c>
      <c r="L21" s="6" t="s">
        <v>21</v>
      </c>
      <c r="M21" s="1"/>
      <c r="N21" s="1" t="s">
        <v>26</v>
      </c>
      <c r="O21" s="1" t="s">
        <v>343</v>
      </c>
      <c r="P21" s="1"/>
      <c r="Q21" s="1"/>
      <c r="R21" s="1">
        <v>3</v>
      </c>
      <c r="S21" s="6" t="s">
        <v>238</v>
      </c>
      <c r="T21" s="2">
        <v>72.3</v>
      </c>
      <c r="U21" s="1"/>
      <c r="W21" s="8">
        <f t="shared" si="0"/>
        <v>72.3</v>
      </c>
      <c r="Y21" s="3">
        <f t="shared" si="10"/>
        <v>14</v>
      </c>
      <c r="Z21" s="3">
        <f t="shared" si="2"/>
        <v>1</v>
      </c>
      <c r="AA21" s="3">
        <f t="shared" si="11"/>
        <v>13</v>
      </c>
      <c r="AB21" s="34">
        <f t="shared" si="12"/>
        <v>5</v>
      </c>
      <c r="AC21" s="34">
        <f t="shared" si="13"/>
        <v>13</v>
      </c>
      <c r="AD21" s="35">
        <f t="shared" si="9"/>
        <v>0.27777777777777779</v>
      </c>
      <c r="AE21" s="35">
        <f t="shared" si="14"/>
        <v>0.72222222222222221</v>
      </c>
    </row>
    <row r="22" spans="1:31" x14ac:dyDescent="0.2">
      <c r="A22" s="1" t="s">
        <v>53</v>
      </c>
      <c r="D22" t="s">
        <v>350</v>
      </c>
      <c r="E22" s="3" t="s">
        <v>20</v>
      </c>
      <c r="F22" s="1" t="s">
        <v>225</v>
      </c>
      <c r="G22" s="1" t="s">
        <v>31</v>
      </c>
      <c r="H22" s="1" t="s">
        <v>213</v>
      </c>
      <c r="I22" s="1" t="s">
        <v>31</v>
      </c>
      <c r="J22" s="1" t="s">
        <v>214</v>
      </c>
      <c r="K22" s="1" t="s">
        <v>211</v>
      </c>
      <c r="L22" s="1" t="s">
        <v>21</v>
      </c>
      <c r="M22" s="1" t="s">
        <v>22</v>
      </c>
      <c r="N22" s="1" t="s">
        <v>26</v>
      </c>
      <c r="O22" s="1" t="s">
        <v>246</v>
      </c>
      <c r="P22" s="1" t="s">
        <v>28</v>
      </c>
      <c r="Q22" s="1"/>
      <c r="R22" s="1">
        <v>2</v>
      </c>
      <c r="S22" s="6" t="s">
        <v>238</v>
      </c>
      <c r="T22" s="2">
        <v>76.400000000000006</v>
      </c>
      <c r="U22" s="1"/>
      <c r="W22" s="8">
        <f t="shared" si="0"/>
        <v>76.400000000000006</v>
      </c>
      <c r="Y22" s="3">
        <f t="shared" si="10"/>
        <v>15</v>
      </c>
      <c r="Z22" s="3">
        <f t="shared" si="2"/>
        <v>1</v>
      </c>
      <c r="AA22" s="3">
        <f t="shared" si="11"/>
        <v>14</v>
      </c>
      <c r="AB22" s="34">
        <f t="shared" si="12"/>
        <v>5</v>
      </c>
      <c r="AC22" s="34">
        <f t="shared" si="13"/>
        <v>14</v>
      </c>
      <c r="AD22" s="35">
        <f t="shared" si="9"/>
        <v>0.26315789473684209</v>
      </c>
      <c r="AE22" s="35">
        <f t="shared" si="14"/>
        <v>0.73684210526315785</v>
      </c>
    </row>
    <row r="23" spans="1:31" x14ac:dyDescent="0.2">
      <c r="A23" s="1" t="s">
        <v>54</v>
      </c>
      <c r="D23" t="s">
        <v>350</v>
      </c>
      <c r="E23" s="5" t="s">
        <v>31</v>
      </c>
      <c r="F23" s="6" t="s">
        <v>213</v>
      </c>
      <c r="G23" s="6" t="s">
        <v>20</v>
      </c>
      <c r="H23" s="6" t="s">
        <v>222</v>
      </c>
      <c r="I23" s="6" t="s">
        <v>20</v>
      </c>
      <c r="J23" s="6" t="s">
        <v>225</v>
      </c>
      <c r="K23" s="6" t="s">
        <v>233</v>
      </c>
      <c r="L23" s="6" t="s">
        <v>21</v>
      </c>
      <c r="M23" s="1" t="s">
        <v>22</v>
      </c>
      <c r="N23" s="1" t="s">
        <v>26</v>
      </c>
      <c r="O23" s="1" t="s">
        <v>246</v>
      </c>
      <c r="P23" s="1" t="s">
        <v>28</v>
      </c>
      <c r="Q23" s="1"/>
      <c r="R23" s="1">
        <v>3</v>
      </c>
      <c r="S23" s="6" t="s">
        <v>238</v>
      </c>
      <c r="T23" s="2">
        <v>64.5</v>
      </c>
      <c r="U23" s="1">
        <v>1</v>
      </c>
      <c r="W23" s="8">
        <f t="shared" si="0"/>
        <v>60.5</v>
      </c>
      <c r="Y23" s="3">
        <f t="shared" si="10"/>
        <v>12</v>
      </c>
      <c r="Z23" s="3">
        <f t="shared" si="2"/>
        <v>1</v>
      </c>
      <c r="AA23" s="3">
        <f t="shared" si="11"/>
        <v>11</v>
      </c>
      <c r="AB23" s="34">
        <f t="shared" si="12"/>
        <v>5</v>
      </c>
      <c r="AC23" s="34">
        <f t="shared" si="13"/>
        <v>11</v>
      </c>
      <c r="AD23" s="35">
        <f t="shared" si="9"/>
        <v>0.3125</v>
      </c>
      <c r="AE23" s="35">
        <f t="shared" si="14"/>
        <v>0.6875</v>
      </c>
    </row>
    <row r="24" spans="1:31" x14ac:dyDescent="0.2">
      <c r="A24" s="1" t="s">
        <v>55</v>
      </c>
      <c r="D24" t="s">
        <v>350</v>
      </c>
      <c r="E24" s="5" t="s">
        <v>31</v>
      </c>
      <c r="F24" s="6" t="s">
        <v>216</v>
      </c>
      <c r="G24" s="6" t="s">
        <v>20</v>
      </c>
      <c r="H24" s="6" t="s">
        <v>221</v>
      </c>
      <c r="I24" s="6" t="s">
        <v>20</v>
      </c>
      <c r="J24" s="6" t="s">
        <v>222</v>
      </c>
      <c r="K24" s="6" t="s">
        <v>233</v>
      </c>
      <c r="L24" s="6" t="s">
        <v>21</v>
      </c>
      <c r="M24" s="1" t="s">
        <v>247</v>
      </c>
      <c r="N24" s="1" t="s">
        <v>26</v>
      </c>
      <c r="O24" s="1" t="s">
        <v>343</v>
      </c>
      <c r="P24" s="1" t="s">
        <v>28</v>
      </c>
      <c r="Q24" s="1"/>
      <c r="R24" s="1">
        <v>3</v>
      </c>
      <c r="S24" s="6" t="s">
        <v>238</v>
      </c>
      <c r="T24" s="2">
        <v>53.4</v>
      </c>
      <c r="U24" s="1"/>
      <c r="W24" s="8">
        <f t="shared" si="0"/>
        <v>53.4</v>
      </c>
      <c r="Y24" s="3">
        <f t="shared" si="10"/>
        <v>10</v>
      </c>
      <c r="Z24" s="3">
        <f t="shared" si="2"/>
        <v>0</v>
      </c>
      <c r="AA24" s="3">
        <f t="shared" si="11"/>
        <v>10</v>
      </c>
      <c r="AB24" s="34">
        <f t="shared" si="12"/>
        <v>0</v>
      </c>
      <c r="AC24" s="34">
        <f t="shared" si="13"/>
        <v>10</v>
      </c>
      <c r="AD24" s="35">
        <f t="shared" si="9"/>
        <v>0</v>
      </c>
      <c r="AE24" s="35">
        <f t="shared" si="14"/>
        <v>1</v>
      </c>
    </row>
    <row r="25" spans="1:31" x14ac:dyDescent="0.2">
      <c r="A25" s="7" t="s">
        <v>237</v>
      </c>
      <c r="D25" t="s">
        <v>350</v>
      </c>
      <c r="E25" s="5" t="s">
        <v>20</v>
      </c>
      <c r="F25" s="6" t="s">
        <v>221</v>
      </c>
      <c r="G25" s="6" t="s">
        <v>31</v>
      </c>
      <c r="H25" s="6" t="s">
        <v>215</v>
      </c>
      <c r="I25" s="6" t="s">
        <v>31</v>
      </c>
      <c r="J25" s="6" t="s">
        <v>213</v>
      </c>
      <c r="K25" s="6" t="s">
        <v>211</v>
      </c>
      <c r="L25" s="6" t="s">
        <v>29</v>
      </c>
      <c r="M25" s="1" t="s">
        <v>22</v>
      </c>
      <c r="N25" s="1" t="s">
        <v>26</v>
      </c>
      <c r="O25" s="1" t="s">
        <v>246</v>
      </c>
      <c r="P25" s="1" t="s">
        <v>28</v>
      </c>
      <c r="Q25" s="1"/>
      <c r="R25" s="1">
        <v>2</v>
      </c>
      <c r="S25" s="6" t="s">
        <v>238</v>
      </c>
      <c r="T25" s="2">
        <v>76.290000000000006</v>
      </c>
      <c r="U25" s="1"/>
      <c r="W25" s="8">
        <f t="shared" si="0"/>
        <v>76.290000000000006</v>
      </c>
      <c r="Y25" s="3">
        <f t="shared" si="10"/>
        <v>15</v>
      </c>
      <c r="Z25" s="3">
        <f t="shared" si="2"/>
        <v>1</v>
      </c>
      <c r="AA25" s="3">
        <f t="shared" si="11"/>
        <v>14</v>
      </c>
      <c r="AB25" s="34">
        <f t="shared" si="12"/>
        <v>5</v>
      </c>
      <c r="AC25" s="34">
        <f t="shared" si="13"/>
        <v>14</v>
      </c>
      <c r="AD25" s="35">
        <f t="shared" si="9"/>
        <v>0.26315789473684209</v>
      </c>
      <c r="AE25" s="35">
        <f t="shared" si="14"/>
        <v>0.73684210526315785</v>
      </c>
    </row>
    <row r="26" spans="1:31" x14ac:dyDescent="0.2">
      <c r="A26" s="1" t="s">
        <v>57</v>
      </c>
      <c r="D26" t="s">
        <v>350</v>
      </c>
      <c r="E26" s="5" t="s">
        <v>31</v>
      </c>
      <c r="F26" s="6" t="s">
        <v>213</v>
      </c>
      <c r="G26" s="6" t="s">
        <v>20</v>
      </c>
      <c r="H26" s="6" t="s">
        <v>221</v>
      </c>
      <c r="I26" s="6" t="s">
        <v>20</v>
      </c>
      <c r="J26" s="6" t="s">
        <v>222</v>
      </c>
      <c r="K26" s="6" t="s">
        <v>233</v>
      </c>
      <c r="L26" s="6" t="s">
        <v>29</v>
      </c>
      <c r="M26" s="1" t="s">
        <v>245</v>
      </c>
      <c r="N26" s="1" t="s">
        <v>26</v>
      </c>
      <c r="O26" s="1" t="s">
        <v>343</v>
      </c>
      <c r="P26" s="1" t="s">
        <v>23</v>
      </c>
      <c r="Q26" s="1"/>
      <c r="R26" s="1">
        <v>3</v>
      </c>
      <c r="S26" s="6" t="s">
        <v>238</v>
      </c>
      <c r="T26" s="2">
        <v>74.599999999999994</v>
      </c>
      <c r="U26" s="1"/>
      <c r="W26" s="8">
        <f t="shared" si="0"/>
        <v>74.599999999999994</v>
      </c>
      <c r="Y26" s="3">
        <f t="shared" si="10"/>
        <v>14</v>
      </c>
      <c r="Z26" s="3">
        <f t="shared" si="2"/>
        <v>1</v>
      </c>
      <c r="AA26" s="3">
        <f t="shared" si="11"/>
        <v>13</v>
      </c>
      <c r="AB26" s="34">
        <f t="shared" si="12"/>
        <v>5</v>
      </c>
      <c r="AC26" s="34">
        <f t="shared" si="13"/>
        <v>13</v>
      </c>
      <c r="AD26" s="35">
        <f t="shared" si="9"/>
        <v>0.27777777777777779</v>
      </c>
      <c r="AE26" s="35">
        <f t="shared" si="14"/>
        <v>0.72222222222222221</v>
      </c>
    </row>
    <row r="27" spans="1:31" x14ac:dyDescent="0.2">
      <c r="A27" s="1" t="s">
        <v>58</v>
      </c>
      <c r="D27" t="s">
        <v>350</v>
      </c>
      <c r="E27" s="3" t="s">
        <v>20</v>
      </c>
      <c r="F27" s="1" t="s">
        <v>222</v>
      </c>
      <c r="G27" s="1" t="s">
        <v>31</v>
      </c>
      <c r="H27" s="1" t="s">
        <v>215</v>
      </c>
      <c r="I27" s="1" t="s">
        <v>31</v>
      </c>
      <c r="J27" s="1" t="s">
        <v>213</v>
      </c>
      <c r="K27" s="1" t="s">
        <v>218</v>
      </c>
      <c r="L27" s="1" t="s">
        <v>29</v>
      </c>
      <c r="M27" s="1" t="s">
        <v>28</v>
      </c>
      <c r="N27" s="1" t="s">
        <v>26</v>
      </c>
      <c r="O27" s="1" t="s">
        <v>343</v>
      </c>
      <c r="P27" s="1" t="s">
        <v>28</v>
      </c>
      <c r="Q27" s="1"/>
      <c r="R27" s="1">
        <v>2</v>
      </c>
      <c r="S27" s="6" t="s">
        <v>238</v>
      </c>
      <c r="T27" s="2">
        <v>80.400000000000006</v>
      </c>
      <c r="U27" s="1"/>
      <c r="W27" s="8">
        <f t="shared" si="0"/>
        <v>80.400000000000006</v>
      </c>
      <c r="Y27" s="3">
        <f t="shared" si="10"/>
        <v>16</v>
      </c>
      <c r="Z27" s="3">
        <f t="shared" si="2"/>
        <v>1</v>
      </c>
      <c r="AA27" s="3">
        <f t="shared" si="11"/>
        <v>15</v>
      </c>
      <c r="AB27" s="34">
        <f t="shared" si="12"/>
        <v>5</v>
      </c>
      <c r="AC27" s="34">
        <f t="shared" si="13"/>
        <v>15</v>
      </c>
      <c r="AD27" s="35">
        <f t="shared" si="9"/>
        <v>0.25</v>
      </c>
      <c r="AE27" s="35">
        <f t="shared" si="14"/>
        <v>0.75</v>
      </c>
    </row>
    <row r="28" spans="1:31" x14ac:dyDescent="0.2">
      <c r="A28" s="1" t="s">
        <v>59</v>
      </c>
      <c r="D28" t="s">
        <v>350</v>
      </c>
      <c r="E28" s="5" t="s">
        <v>31</v>
      </c>
      <c r="F28" s="6" t="s">
        <v>215</v>
      </c>
      <c r="G28" s="6" t="s">
        <v>20</v>
      </c>
      <c r="H28" s="6" t="s">
        <v>221</v>
      </c>
      <c r="I28" s="6" t="s">
        <v>20</v>
      </c>
      <c r="J28" s="6" t="s">
        <v>222</v>
      </c>
      <c r="K28" s="6" t="s">
        <v>229</v>
      </c>
      <c r="L28" s="6" t="s">
        <v>29</v>
      </c>
      <c r="M28" s="1" t="s">
        <v>22</v>
      </c>
      <c r="N28" s="1" t="s">
        <v>24</v>
      </c>
      <c r="O28" s="1" t="s">
        <v>246</v>
      </c>
      <c r="P28" s="1" t="s">
        <v>28</v>
      </c>
      <c r="Q28" s="1"/>
      <c r="R28" s="1">
        <v>2</v>
      </c>
      <c r="S28" s="6" t="s">
        <v>238</v>
      </c>
      <c r="T28" s="2">
        <v>76.3</v>
      </c>
      <c r="U28" s="1">
        <v>1</v>
      </c>
      <c r="W28" s="8">
        <f t="shared" si="0"/>
        <v>72.3</v>
      </c>
      <c r="Y28" s="3">
        <f t="shared" si="10"/>
        <v>14</v>
      </c>
      <c r="Z28" s="3">
        <f t="shared" si="2"/>
        <v>1</v>
      </c>
      <c r="AA28" s="3">
        <f t="shared" si="11"/>
        <v>13</v>
      </c>
      <c r="AB28" s="34">
        <f t="shared" si="12"/>
        <v>5</v>
      </c>
      <c r="AC28" s="34">
        <f t="shared" si="13"/>
        <v>13</v>
      </c>
      <c r="AD28" s="35">
        <f t="shared" si="9"/>
        <v>0.27777777777777779</v>
      </c>
      <c r="AE28" s="35">
        <f t="shared" si="14"/>
        <v>0.72222222222222221</v>
      </c>
    </row>
    <row r="29" spans="1:31" x14ac:dyDescent="0.2">
      <c r="A29" s="1" t="s">
        <v>60</v>
      </c>
      <c r="D29" t="s">
        <v>350</v>
      </c>
      <c r="E29" s="3" t="s">
        <v>20</v>
      </c>
      <c r="F29" s="1" t="s">
        <v>222</v>
      </c>
      <c r="G29" s="1" t="s">
        <v>31</v>
      </c>
      <c r="H29" s="1" t="s">
        <v>215</v>
      </c>
      <c r="I29" s="1" t="s">
        <v>31</v>
      </c>
      <c r="J29" s="1" t="s">
        <v>213</v>
      </c>
      <c r="K29" s="1" t="s">
        <v>218</v>
      </c>
      <c r="L29" s="1" t="s">
        <v>21</v>
      </c>
      <c r="M29" s="1" t="s">
        <v>22</v>
      </c>
      <c r="N29" s="1" t="s">
        <v>26</v>
      </c>
      <c r="O29" s="1" t="s">
        <v>343</v>
      </c>
      <c r="P29" s="1" t="s">
        <v>27</v>
      </c>
      <c r="Q29" s="1"/>
      <c r="R29" s="1">
        <v>2</v>
      </c>
      <c r="S29" s="6" t="s">
        <v>238</v>
      </c>
      <c r="T29" s="2">
        <v>80.400000000000006</v>
      </c>
      <c r="U29" s="1"/>
      <c r="W29" s="8">
        <f t="shared" si="0"/>
        <v>80.400000000000006</v>
      </c>
      <c r="Y29" s="3">
        <f t="shared" si="10"/>
        <v>16</v>
      </c>
      <c r="Z29" s="3">
        <f t="shared" si="2"/>
        <v>1</v>
      </c>
      <c r="AA29" s="3">
        <f t="shared" si="11"/>
        <v>15</v>
      </c>
      <c r="AB29" s="34">
        <f t="shared" si="12"/>
        <v>5</v>
      </c>
      <c r="AC29" s="34">
        <f t="shared" si="13"/>
        <v>15</v>
      </c>
      <c r="AD29" s="35">
        <f t="shared" si="9"/>
        <v>0.25</v>
      </c>
      <c r="AE29" s="35">
        <f t="shared" si="14"/>
        <v>0.75</v>
      </c>
    </row>
    <row r="30" spans="1:31" x14ac:dyDescent="0.2">
      <c r="A30" s="1" t="s">
        <v>61</v>
      </c>
      <c r="D30" t="s">
        <v>350</v>
      </c>
      <c r="E30" s="5" t="s">
        <v>31</v>
      </c>
      <c r="F30" s="6" t="s">
        <v>213</v>
      </c>
      <c r="G30" s="6" t="s">
        <v>20</v>
      </c>
      <c r="H30" s="6" t="s">
        <v>222</v>
      </c>
      <c r="I30" s="6" t="s">
        <v>20</v>
      </c>
      <c r="J30" s="6" t="s">
        <v>225</v>
      </c>
      <c r="K30" s="6" t="s">
        <v>233</v>
      </c>
      <c r="L30" s="6" t="s">
        <v>29</v>
      </c>
      <c r="M30" s="1" t="s">
        <v>22</v>
      </c>
      <c r="N30" s="1" t="s">
        <v>26</v>
      </c>
      <c r="O30" s="1" t="s">
        <v>246</v>
      </c>
      <c r="P30" s="1" t="s">
        <v>28</v>
      </c>
      <c r="Q30" s="1"/>
      <c r="R30" s="1">
        <v>3</v>
      </c>
      <c r="S30" s="6" t="s">
        <v>238</v>
      </c>
      <c r="T30" s="2">
        <v>67.31</v>
      </c>
      <c r="U30" s="1">
        <v>1</v>
      </c>
      <c r="W30" s="8">
        <f t="shared" si="0"/>
        <v>63.31</v>
      </c>
      <c r="Y30" s="3">
        <f t="shared" si="10"/>
        <v>12</v>
      </c>
      <c r="Z30" s="3">
        <f t="shared" si="2"/>
        <v>1</v>
      </c>
      <c r="AA30" s="3">
        <f t="shared" si="11"/>
        <v>11</v>
      </c>
      <c r="AB30" s="34">
        <f t="shared" si="12"/>
        <v>5</v>
      </c>
      <c r="AC30" s="34">
        <f t="shared" si="13"/>
        <v>11</v>
      </c>
      <c r="AD30" s="35">
        <f t="shared" si="9"/>
        <v>0.3125</v>
      </c>
      <c r="AE30" s="35">
        <f t="shared" si="14"/>
        <v>0.6875</v>
      </c>
    </row>
    <row r="31" spans="1:31" x14ac:dyDescent="0.2">
      <c r="A31" s="1" t="s">
        <v>62</v>
      </c>
      <c r="D31" t="s">
        <v>350</v>
      </c>
      <c r="E31" s="3" t="s">
        <v>20</v>
      </c>
      <c r="F31" s="1" t="s">
        <v>225</v>
      </c>
      <c r="G31" s="1" t="s">
        <v>31</v>
      </c>
      <c r="H31" s="1" t="s">
        <v>215</v>
      </c>
      <c r="I31" s="1" t="s">
        <v>31</v>
      </c>
      <c r="J31" s="1" t="s">
        <v>213</v>
      </c>
      <c r="K31" s="1" t="s">
        <v>211</v>
      </c>
      <c r="L31" s="1" t="s">
        <v>21</v>
      </c>
      <c r="M31" s="1" t="s">
        <v>22</v>
      </c>
      <c r="N31" s="1" t="s">
        <v>26</v>
      </c>
      <c r="O31" s="1" t="s">
        <v>343</v>
      </c>
      <c r="P31" s="1" t="s">
        <v>28</v>
      </c>
      <c r="Q31" s="1"/>
      <c r="R31" s="1">
        <v>2</v>
      </c>
      <c r="S31" s="6" t="s">
        <v>238</v>
      </c>
      <c r="T31" s="2">
        <v>82.6</v>
      </c>
      <c r="U31" s="1"/>
      <c r="W31" s="8">
        <f t="shared" si="0"/>
        <v>82.6</v>
      </c>
      <c r="Y31" s="3">
        <f t="shared" si="10"/>
        <v>16</v>
      </c>
      <c r="Z31" s="3">
        <f t="shared" si="2"/>
        <v>1</v>
      </c>
      <c r="AA31" s="3">
        <f t="shared" si="11"/>
        <v>15</v>
      </c>
      <c r="AB31" s="34">
        <f t="shared" si="12"/>
        <v>5</v>
      </c>
      <c r="AC31" s="34">
        <f t="shared" si="13"/>
        <v>15</v>
      </c>
      <c r="AD31" s="35">
        <f t="shared" si="9"/>
        <v>0.25</v>
      </c>
      <c r="AE31" s="35">
        <f t="shared" si="14"/>
        <v>0.75</v>
      </c>
    </row>
    <row r="32" spans="1:31" x14ac:dyDescent="0.2">
      <c r="A32" s="1" t="s">
        <v>63</v>
      </c>
      <c r="D32" t="s">
        <v>350</v>
      </c>
      <c r="E32" s="5" t="s">
        <v>31</v>
      </c>
      <c r="F32" s="6" t="s">
        <v>215</v>
      </c>
      <c r="G32" s="6" t="s">
        <v>20</v>
      </c>
      <c r="H32" s="6" t="s">
        <v>222</v>
      </c>
      <c r="I32" s="6" t="s">
        <v>20</v>
      </c>
      <c r="J32" s="6" t="s">
        <v>225</v>
      </c>
      <c r="K32" s="6" t="s">
        <v>229</v>
      </c>
      <c r="L32" s="6" t="s">
        <v>29</v>
      </c>
      <c r="M32" s="6" t="s">
        <v>28</v>
      </c>
      <c r="N32" s="1" t="s">
        <v>26</v>
      </c>
      <c r="O32" s="1" t="s">
        <v>343</v>
      </c>
      <c r="P32" s="1" t="s">
        <v>27</v>
      </c>
      <c r="Q32" s="1"/>
      <c r="R32" s="1">
        <v>2</v>
      </c>
      <c r="S32" s="6" t="s">
        <v>238</v>
      </c>
      <c r="T32" s="2">
        <v>66.3</v>
      </c>
      <c r="U32" s="1">
        <v>1</v>
      </c>
      <c r="W32" s="8">
        <f t="shared" si="0"/>
        <v>62.3</v>
      </c>
      <c r="Y32" s="3">
        <f t="shared" si="10"/>
        <v>12</v>
      </c>
      <c r="Z32" s="3">
        <f t="shared" si="2"/>
        <v>1</v>
      </c>
      <c r="AA32" s="3">
        <f t="shared" si="11"/>
        <v>11</v>
      </c>
      <c r="AB32" s="34">
        <f t="shared" si="12"/>
        <v>5</v>
      </c>
      <c r="AC32" s="34">
        <f t="shared" si="13"/>
        <v>11</v>
      </c>
      <c r="AD32" s="35">
        <f t="shared" si="9"/>
        <v>0.3125</v>
      </c>
      <c r="AE32" s="35">
        <f t="shared" si="14"/>
        <v>0.6875</v>
      </c>
    </row>
    <row r="33" spans="1:31" x14ac:dyDescent="0.2">
      <c r="A33" s="4" t="s">
        <v>64</v>
      </c>
      <c r="D33" t="s">
        <v>350</v>
      </c>
      <c r="E33" s="3" t="s">
        <v>20</v>
      </c>
      <c r="F33" s="1" t="s">
        <v>212</v>
      </c>
      <c r="G33" s="1" t="s">
        <v>31</v>
      </c>
      <c r="H33" s="1" t="s">
        <v>215</v>
      </c>
      <c r="I33" s="1" t="s">
        <v>31</v>
      </c>
      <c r="J33" s="1" t="s">
        <v>213</v>
      </c>
      <c r="K33" s="1" t="s">
        <v>211</v>
      </c>
      <c r="L33" s="1" t="s">
        <v>29</v>
      </c>
      <c r="M33" s="1" t="s">
        <v>22</v>
      </c>
      <c r="N33" s="1" t="s">
        <v>26</v>
      </c>
      <c r="O33" s="1" t="s">
        <v>343</v>
      </c>
      <c r="P33" s="1" t="s">
        <v>28</v>
      </c>
      <c r="Q33" s="1"/>
      <c r="R33" s="1">
        <v>2</v>
      </c>
      <c r="S33" s="6" t="s">
        <v>238</v>
      </c>
      <c r="T33" s="2">
        <v>99.7</v>
      </c>
      <c r="U33" s="1"/>
      <c r="W33" s="8">
        <f t="shared" si="0"/>
        <v>99.7</v>
      </c>
      <c r="Y33" s="3">
        <f t="shared" si="10"/>
        <v>19</v>
      </c>
      <c r="Z33" s="3">
        <f t="shared" si="2"/>
        <v>1</v>
      </c>
      <c r="AA33" s="3">
        <f t="shared" si="11"/>
        <v>18</v>
      </c>
      <c r="AB33" s="34">
        <f t="shared" si="12"/>
        <v>5</v>
      </c>
      <c r="AC33" s="34">
        <f t="shared" si="13"/>
        <v>18</v>
      </c>
      <c r="AD33" s="35">
        <f t="shared" si="9"/>
        <v>0.21739130434782608</v>
      </c>
      <c r="AE33" s="35">
        <f t="shared" si="14"/>
        <v>0.78260869565217395</v>
      </c>
    </row>
    <row r="34" spans="1:31" x14ac:dyDescent="0.2">
      <c r="A34" s="1" t="s">
        <v>65</v>
      </c>
      <c r="D34" t="s">
        <v>350</v>
      </c>
      <c r="E34" s="5" t="s">
        <v>31</v>
      </c>
      <c r="F34" s="6" t="s">
        <v>213</v>
      </c>
      <c r="G34" s="6" t="s">
        <v>20</v>
      </c>
      <c r="H34" s="6" t="s">
        <v>212</v>
      </c>
      <c r="I34" s="6" t="s">
        <v>20</v>
      </c>
      <c r="J34" s="6" t="s">
        <v>217</v>
      </c>
      <c r="K34" s="6" t="s">
        <v>233</v>
      </c>
      <c r="L34" s="6" t="s">
        <v>29</v>
      </c>
      <c r="M34" s="1" t="s">
        <v>22</v>
      </c>
      <c r="N34" s="1" t="s">
        <v>26</v>
      </c>
      <c r="O34" s="1" t="s">
        <v>343</v>
      </c>
      <c r="P34" s="1" t="s">
        <v>28</v>
      </c>
      <c r="Q34" s="1"/>
      <c r="R34" s="1">
        <v>3</v>
      </c>
      <c r="S34" s="6" t="s">
        <v>238</v>
      </c>
      <c r="T34" s="2">
        <v>69.099999999999994</v>
      </c>
      <c r="U34" s="1"/>
      <c r="W34" s="8">
        <f t="shared" ref="W34:W65" si="15">T34-4*U34</f>
        <v>69.099999999999994</v>
      </c>
      <c r="Y34" s="3">
        <f t="shared" si="10"/>
        <v>13</v>
      </c>
      <c r="Z34" s="3">
        <f t="shared" si="2"/>
        <v>1</v>
      </c>
      <c r="AA34" s="3">
        <f t="shared" si="11"/>
        <v>12</v>
      </c>
      <c r="AB34" s="34">
        <f t="shared" si="12"/>
        <v>5</v>
      </c>
      <c r="AC34" s="34">
        <f t="shared" si="13"/>
        <v>12</v>
      </c>
      <c r="AD34" s="35">
        <f t="shared" si="9"/>
        <v>0.29411764705882354</v>
      </c>
      <c r="AE34" s="35">
        <f t="shared" si="14"/>
        <v>0.70588235294117652</v>
      </c>
    </row>
    <row r="35" spans="1:31" x14ac:dyDescent="0.2">
      <c r="A35" s="1" t="s">
        <v>66</v>
      </c>
      <c r="D35" t="s">
        <v>350</v>
      </c>
      <c r="E35" s="3" t="s">
        <v>20</v>
      </c>
      <c r="F35" s="1" t="s">
        <v>217</v>
      </c>
      <c r="G35" s="1" t="s">
        <v>31</v>
      </c>
      <c r="H35" s="1" t="s">
        <v>215</v>
      </c>
      <c r="I35" s="1" t="s">
        <v>31</v>
      </c>
      <c r="J35" s="1" t="s">
        <v>213</v>
      </c>
      <c r="K35" s="1" t="s">
        <v>218</v>
      </c>
      <c r="L35" s="1" t="s">
        <v>29</v>
      </c>
      <c r="M35" s="1" t="s">
        <v>245</v>
      </c>
      <c r="N35" s="1" t="s">
        <v>24</v>
      </c>
      <c r="O35" s="1" t="s">
        <v>343</v>
      </c>
      <c r="P35" s="1" t="s">
        <v>23</v>
      </c>
      <c r="Q35" s="1" t="s">
        <v>24</v>
      </c>
      <c r="R35" s="1">
        <v>2</v>
      </c>
      <c r="S35" s="6" t="s">
        <v>238</v>
      </c>
      <c r="T35" s="2">
        <v>74.900000000000006</v>
      </c>
      <c r="U35" s="1"/>
      <c r="W35" s="8">
        <f t="shared" si="15"/>
        <v>74.900000000000006</v>
      </c>
      <c r="Y35" s="3">
        <f t="shared" si="10"/>
        <v>14</v>
      </c>
      <c r="Z35" s="3">
        <f t="shared" si="2"/>
        <v>1</v>
      </c>
      <c r="AA35" s="3">
        <f t="shared" si="11"/>
        <v>13</v>
      </c>
      <c r="AB35" s="34">
        <f t="shared" si="12"/>
        <v>5</v>
      </c>
      <c r="AC35" s="34">
        <f t="shared" si="13"/>
        <v>13</v>
      </c>
      <c r="AD35" s="35">
        <f t="shared" si="9"/>
        <v>0.27777777777777779</v>
      </c>
      <c r="AE35" s="35">
        <f t="shared" si="14"/>
        <v>0.72222222222222221</v>
      </c>
    </row>
    <row r="36" spans="1:31" x14ac:dyDescent="0.2">
      <c r="A36" s="1" t="s">
        <v>67</v>
      </c>
      <c r="D36" t="s">
        <v>350</v>
      </c>
      <c r="E36" s="3" t="s">
        <v>31</v>
      </c>
      <c r="F36" s="1" t="s">
        <v>215</v>
      </c>
      <c r="G36" s="6" t="s">
        <v>20</v>
      </c>
      <c r="H36" s="6" t="s">
        <v>212</v>
      </c>
      <c r="I36" s="6" t="s">
        <v>20</v>
      </c>
      <c r="J36" s="6" t="s">
        <v>217</v>
      </c>
      <c r="K36" s="6" t="s">
        <v>229</v>
      </c>
      <c r="L36" s="6" t="s">
        <v>29</v>
      </c>
      <c r="M36" s="1" t="s">
        <v>22</v>
      </c>
      <c r="N36" s="1" t="s">
        <v>26</v>
      </c>
      <c r="O36" s="1" t="s">
        <v>343</v>
      </c>
      <c r="P36" s="1" t="s">
        <v>28</v>
      </c>
      <c r="Q36" s="1"/>
      <c r="R36" s="1">
        <v>2</v>
      </c>
      <c r="S36" s="6" t="s">
        <v>238</v>
      </c>
      <c r="T36" s="2">
        <v>46.3</v>
      </c>
      <c r="U36" s="1"/>
      <c r="W36" s="8">
        <f t="shared" si="15"/>
        <v>46.3</v>
      </c>
      <c r="Y36" s="3">
        <f t="shared" si="10"/>
        <v>9</v>
      </c>
      <c r="Z36" s="3">
        <f t="shared" si="2"/>
        <v>0</v>
      </c>
      <c r="AA36" s="3">
        <f t="shared" si="11"/>
        <v>9</v>
      </c>
      <c r="AB36" s="34">
        <f t="shared" si="12"/>
        <v>0</v>
      </c>
      <c r="AC36" s="34">
        <f t="shared" si="13"/>
        <v>9</v>
      </c>
      <c r="AD36" s="35">
        <f t="shared" si="9"/>
        <v>0</v>
      </c>
      <c r="AE36" s="35">
        <f t="shared" si="14"/>
        <v>1</v>
      </c>
    </row>
    <row r="37" spans="1:31" x14ac:dyDescent="0.2">
      <c r="A37" s="1" t="s">
        <v>68</v>
      </c>
      <c r="D37" t="s">
        <v>350</v>
      </c>
      <c r="E37" s="3" t="s">
        <v>20</v>
      </c>
      <c r="F37" s="1" t="s">
        <v>217</v>
      </c>
      <c r="G37" s="1" t="s">
        <v>31</v>
      </c>
      <c r="H37" s="1" t="s">
        <v>215</v>
      </c>
      <c r="I37" s="1" t="s">
        <v>31</v>
      </c>
      <c r="J37" s="1" t="s">
        <v>213</v>
      </c>
      <c r="K37" s="1" t="s">
        <v>218</v>
      </c>
      <c r="L37" s="1" t="s">
        <v>21</v>
      </c>
      <c r="M37" s="1" t="s">
        <v>245</v>
      </c>
      <c r="N37" s="1" t="s">
        <v>24</v>
      </c>
      <c r="O37" s="1" t="s">
        <v>343</v>
      </c>
      <c r="P37" s="1" t="s">
        <v>23</v>
      </c>
      <c r="Q37" s="1" t="s">
        <v>24</v>
      </c>
      <c r="R37" s="1">
        <v>2</v>
      </c>
      <c r="S37" s="6" t="s">
        <v>238</v>
      </c>
      <c r="T37" s="2">
        <v>74.900000000000006</v>
      </c>
      <c r="U37" s="1"/>
      <c r="W37" s="8">
        <f t="shared" si="15"/>
        <v>74.900000000000006</v>
      </c>
      <c r="Y37" s="3">
        <f t="shared" si="10"/>
        <v>14</v>
      </c>
      <c r="Z37" s="3">
        <f t="shared" si="2"/>
        <v>1</v>
      </c>
      <c r="AA37" s="3">
        <f t="shared" si="11"/>
        <v>13</v>
      </c>
      <c r="AB37" s="34">
        <f t="shared" si="12"/>
        <v>5</v>
      </c>
      <c r="AC37" s="34">
        <f t="shared" si="13"/>
        <v>13</v>
      </c>
      <c r="AD37" s="35">
        <f t="shared" si="9"/>
        <v>0.27777777777777779</v>
      </c>
      <c r="AE37" s="35">
        <f t="shared" si="14"/>
        <v>0.72222222222222221</v>
      </c>
    </row>
    <row r="38" spans="1:31" x14ac:dyDescent="0.2">
      <c r="A38" s="1" t="s">
        <v>69</v>
      </c>
      <c r="D38" t="s">
        <v>350</v>
      </c>
      <c r="E38" s="5" t="s">
        <v>31</v>
      </c>
      <c r="F38" s="6" t="s">
        <v>213</v>
      </c>
      <c r="G38" s="6" t="s">
        <v>20</v>
      </c>
      <c r="H38" s="6" t="s">
        <v>217</v>
      </c>
      <c r="I38" s="6" t="s">
        <v>20</v>
      </c>
      <c r="J38" s="6" t="s">
        <v>219</v>
      </c>
      <c r="K38" s="6" t="s">
        <v>233</v>
      </c>
      <c r="L38" s="6" t="s">
        <v>29</v>
      </c>
      <c r="M38" s="1" t="s">
        <v>245</v>
      </c>
      <c r="N38" s="1" t="s">
        <v>26</v>
      </c>
      <c r="O38" s="1" t="s">
        <v>250</v>
      </c>
      <c r="P38" s="1" t="s">
        <v>23</v>
      </c>
      <c r="Q38" s="1"/>
      <c r="R38" s="1">
        <v>3</v>
      </c>
      <c r="S38" s="6" t="s">
        <v>238</v>
      </c>
      <c r="T38" s="2">
        <v>63.7</v>
      </c>
      <c r="U38" s="1"/>
      <c r="W38" s="8">
        <f t="shared" si="15"/>
        <v>63.7</v>
      </c>
      <c r="Y38" s="3">
        <f t="shared" si="10"/>
        <v>12</v>
      </c>
      <c r="Z38" s="3">
        <f t="shared" si="2"/>
        <v>1</v>
      </c>
      <c r="AA38" s="3">
        <f t="shared" si="11"/>
        <v>11</v>
      </c>
      <c r="AB38" s="34">
        <f t="shared" si="12"/>
        <v>5</v>
      </c>
      <c r="AC38" s="34">
        <f t="shared" si="13"/>
        <v>11</v>
      </c>
      <c r="AD38" s="35">
        <f t="shared" si="9"/>
        <v>0.3125</v>
      </c>
      <c r="AE38" s="35">
        <f t="shared" si="14"/>
        <v>0.6875</v>
      </c>
    </row>
    <row r="39" spans="1:31" x14ac:dyDescent="0.2">
      <c r="A39" s="1" t="s">
        <v>70</v>
      </c>
      <c r="D39" t="s">
        <v>350</v>
      </c>
      <c r="E39" s="3" t="s">
        <v>20</v>
      </c>
      <c r="F39" s="1" t="s">
        <v>219</v>
      </c>
      <c r="G39" s="1" t="s">
        <v>31</v>
      </c>
      <c r="H39" s="1" t="s">
        <v>215</v>
      </c>
      <c r="I39" s="1" t="s">
        <v>31</v>
      </c>
      <c r="J39" s="1" t="s">
        <v>213</v>
      </c>
      <c r="K39" s="1" t="s">
        <v>211</v>
      </c>
      <c r="L39" s="1" t="s">
        <v>21</v>
      </c>
      <c r="M39" s="1" t="s">
        <v>28</v>
      </c>
      <c r="N39" s="1" t="s">
        <v>26</v>
      </c>
      <c r="O39" s="1" t="s">
        <v>343</v>
      </c>
      <c r="P39" s="1" t="s">
        <v>23</v>
      </c>
      <c r="Q39" s="1"/>
      <c r="R39" s="1">
        <v>2</v>
      </c>
      <c r="S39" s="6" t="s">
        <v>238</v>
      </c>
      <c r="T39" s="2">
        <v>77.400000000000006</v>
      </c>
      <c r="U39" s="1"/>
      <c r="W39" s="8">
        <f t="shared" si="15"/>
        <v>77.400000000000006</v>
      </c>
      <c r="Y39" s="3">
        <f t="shared" si="10"/>
        <v>15</v>
      </c>
      <c r="Z39" s="3">
        <f t="shared" si="2"/>
        <v>1</v>
      </c>
      <c r="AA39" s="3">
        <f t="shared" si="11"/>
        <v>14</v>
      </c>
      <c r="AB39" s="34">
        <f t="shared" si="12"/>
        <v>5</v>
      </c>
      <c r="AC39" s="34">
        <f t="shared" si="13"/>
        <v>14</v>
      </c>
      <c r="AD39" s="35">
        <f t="shared" si="9"/>
        <v>0.26315789473684209</v>
      </c>
      <c r="AE39" s="35">
        <f t="shared" si="14"/>
        <v>0.73684210526315785</v>
      </c>
    </row>
    <row r="40" spans="1:31" x14ac:dyDescent="0.2">
      <c r="A40" s="1" t="s">
        <v>71</v>
      </c>
      <c r="D40" t="s">
        <v>350</v>
      </c>
      <c r="E40" s="5" t="s">
        <v>31</v>
      </c>
      <c r="F40" s="6" t="s">
        <v>215</v>
      </c>
      <c r="G40" s="6" t="s">
        <v>20</v>
      </c>
      <c r="H40" s="6" t="s">
        <v>217</v>
      </c>
      <c r="I40" s="6" t="s">
        <v>20</v>
      </c>
      <c r="J40" s="6" t="s">
        <v>219</v>
      </c>
      <c r="K40" s="6" t="s">
        <v>229</v>
      </c>
      <c r="L40" s="6" t="s">
        <v>29</v>
      </c>
      <c r="M40" s="1" t="s">
        <v>245</v>
      </c>
      <c r="N40" s="1" t="s">
        <v>26</v>
      </c>
      <c r="O40" s="1" t="s">
        <v>343</v>
      </c>
      <c r="P40" s="1" t="s">
        <v>23</v>
      </c>
      <c r="Q40" s="1"/>
      <c r="R40" s="1">
        <v>2</v>
      </c>
      <c r="S40" s="6" t="s">
        <v>238</v>
      </c>
      <c r="T40" s="2">
        <v>63.4</v>
      </c>
      <c r="U40" s="1"/>
      <c r="W40" s="8">
        <f t="shared" si="15"/>
        <v>63.4</v>
      </c>
      <c r="Y40" s="3">
        <f t="shared" si="10"/>
        <v>12</v>
      </c>
      <c r="Z40" s="3">
        <f t="shared" si="2"/>
        <v>1</v>
      </c>
      <c r="AA40" s="3">
        <f t="shared" si="11"/>
        <v>11</v>
      </c>
      <c r="AB40" s="34">
        <f t="shared" si="12"/>
        <v>5</v>
      </c>
      <c r="AC40" s="34">
        <f t="shared" si="13"/>
        <v>11</v>
      </c>
      <c r="AD40" s="35">
        <f t="shared" si="9"/>
        <v>0.3125</v>
      </c>
      <c r="AE40" s="35">
        <f t="shared" si="14"/>
        <v>0.6875</v>
      </c>
    </row>
    <row r="41" spans="1:31" x14ac:dyDescent="0.2">
      <c r="A41" s="4" t="s">
        <v>56</v>
      </c>
      <c r="D41" t="s">
        <v>350</v>
      </c>
      <c r="E41" s="5" t="s">
        <v>20</v>
      </c>
      <c r="F41" s="6" t="s">
        <v>220</v>
      </c>
      <c r="G41" s="6" t="s">
        <v>31</v>
      </c>
      <c r="H41" s="6" t="s">
        <v>215</v>
      </c>
      <c r="I41" s="6" t="s">
        <v>31</v>
      </c>
      <c r="J41" s="6" t="s">
        <v>213</v>
      </c>
      <c r="K41" s="6" t="s">
        <v>218</v>
      </c>
      <c r="L41" s="6" t="s">
        <v>21</v>
      </c>
      <c r="M41" s="1" t="s">
        <v>22</v>
      </c>
      <c r="N41" s="1" t="s">
        <v>26</v>
      </c>
      <c r="O41" s="1" t="s">
        <v>343</v>
      </c>
      <c r="P41" s="1" t="s">
        <v>23</v>
      </c>
      <c r="Q41" s="1"/>
      <c r="R41" s="1">
        <v>2</v>
      </c>
      <c r="S41" s="6" t="s">
        <v>238</v>
      </c>
      <c r="T41" s="2">
        <v>77.900000000000006</v>
      </c>
      <c r="U41" s="1"/>
      <c r="W41" s="8">
        <f t="shared" si="15"/>
        <v>77.900000000000006</v>
      </c>
      <c r="Y41" s="3">
        <f t="shared" si="10"/>
        <v>15</v>
      </c>
      <c r="Z41" s="3">
        <f t="shared" si="2"/>
        <v>1</v>
      </c>
      <c r="AA41" s="3">
        <f t="shared" si="11"/>
        <v>14</v>
      </c>
      <c r="AB41" s="34">
        <f t="shared" si="12"/>
        <v>5</v>
      </c>
      <c r="AC41" s="34">
        <f t="shared" si="13"/>
        <v>14</v>
      </c>
      <c r="AD41" s="35">
        <f t="shared" si="9"/>
        <v>0.26315789473684209</v>
      </c>
      <c r="AE41" s="35">
        <f t="shared" si="14"/>
        <v>0.73684210526315785</v>
      </c>
    </row>
    <row r="42" spans="1:31" x14ac:dyDescent="0.2">
      <c r="A42" s="7" t="s">
        <v>234</v>
      </c>
      <c r="D42" t="s">
        <v>350</v>
      </c>
      <c r="E42" s="5" t="s">
        <v>31</v>
      </c>
      <c r="F42" s="6" t="s">
        <v>213</v>
      </c>
      <c r="G42" s="6" t="s">
        <v>20</v>
      </c>
      <c r="H42" s="6" t="s">
        <v>220</v>
      </c>
      <c r="I42" s="6" t="s">
        <v>20</v>
      </c>
      <c r="J42" s="6" t="s">
        <v>221</v>
      </c>
      <c r="K42" s="6" t="s">
        <v>229</v>
      </c>
      <c r="L42" s="6" t="s">
        <v>29</v>
      </c>
      <c r="M42" s="1" t="s">
        <v>22</v>
      </c>
      <c r="N42" s="1" t="s">
        <v>26</v>
      </c>
      <c r="O42" s="1" t="s">
        <v>343</v>
      </c>
      <c r="P42" s="1" t="s">
        <v>28</v>
      </c>
      <c r="Q42" s="1"/>
      <c r="R42" s="1">
        <v>3</v>
      </c>
      <c r="S42" s="6" t="s">
        <v>238</v>
      </c>
      <c r="T42" s="2">
        <v>36.56</v>
      </c>
      <c r="U42" s="1"/>
      <c r="W42" s="8">
        <f t="shared" si="15"/>
        <v>36.56</v>
      </c>
      <c r="Y42" s="3">
        <f t="shared" si="10"/>
        <v>7</v>
      </c>
      <c r="Z42" s="3">
        <f t="shared" si="2"/>
        <v>0</v>
      </c>
      <c r="AA42" s="3">
        <f t="shared" si="11"/>
        <v>7</v>
      </c>
      <c r="AB42" s="34">
        <f t="shared" si="12"/>
        <v>0</v>
      </c>
      <c r="AC42" s="34">
        <f t="shared" si="13"/>
        <v>7</v>
      </c>
      <c r="AD42" s="35">
        <f t="shared" si="9"/>
        <v>0</v>
      </c>
      <c r="AE42" s="35">
        <f t="shared" si="14"/>
        <v>1</v>
      </c>
    </row>
    <row r="43" spans="1:31" x14ac:dyDescent="0.2">
      <c r="A43" s="1" t="s">
        <v>72</v>
      </c>
      <c r="D43" t="s">
        <v>350</v>
      </c>
      <c r="E43" s="5" t="s">
        <v>20</v>
      </c>
      <c r="F43" s="6" t="s">
        <v>221</v>
      </c>
      <c r="G43" s="6" t="s">
        <v>31</v>
      </c>
      <c r="H43" s="6" t="s">
        <v>215</v>
      </c>
      <c r="I43" s="6" t="s">
        <v>31</v>
      </c>
      <c r="J43" s="6" t="s">
        <v>213</v>
      </c>
      <c r="K43" s="6" t="s">
        <v>211</v>
      </c>
      <c r="L43" s="6" t="s">
        <v>21</v>
      </c>
      <c r="M43" s="1" t="s">
        <v>22</v>
      </c>
      <c r="N43" s="1" t="s">
        <v>26</v>
      </c>
      <c r="O43" s="1" t="s">
        <v>246</v>
      </c>
      <c r="P43" s="1" t="s">
        <v>28</v>
      </c>
      <c r="Q43" s="1"/>
      <c r="R43" s="1">
        <v>2</v>
      </c>
      <c r="S43" s="6" t="s">
        <v>238</v>
      </c>
      <c r="T43" s="2">
        <v>76.290000000000006</v>
      </c>
      <c r="U43" s="1"/>
      <c r="W43" s="8">
        <f t="shared" si="15"/>
        <v>76.290000000000006</v>
      </c>
      <c r="Y43" s="3">
        <f t="shared" si="10"/>
        <v>15</v>
      </c>
      <c r="Z43" s="3">
        <f t="shared" si="2"/>
        <v>1</v>
      </c>
      <c r="AA43" s="3">
        <f t="shared" si="11"/>
        <v>14</v>
      </c>
      <c r="AB43" s="34">
        <f t="shared" si="12"/>
        <v>5</v>
      </c>
      <c r="AC43" s="34">
        <f t="shared" si="13"/>
        <v>14</v>
      </c>
      <c r="AD43" s="35">
        <f t="shared" si="9"/>
        <v>0.26315789473684209</v>
      </c>
      <c r="AE43" s="35">
        <f t="shared" si="14"/>
        <v>0.73684210526315785</v>
      </c>
    </row>
    <row r="44" spans="1:31" x14ac:dyDescent="0.2">
      <c r="A44" s="1" t="s">
        <v>73</v>
      </c>
      <c r="D44" t="s">
        <v>350</v>
      </c>
      <c r="E44" s="5" t="s">
        <v>31</v>
      </c>
      <c r="F44" s="6" t="s">
        <v>215</v>
      </c>
      <c r="G44" s="6" t="s">
        <v>20</v>
      </c>
      <c r="H44" s="6" t="s">
        <v>220</v>
      </c>
      <c r="I44" s="6" t="s">
        <v>20</v>
      </c>
      <c r="J44" s="6" t="s">
        <v>221</v>
      </c>
      <c r="K44" s="6" t="s">
        <v>229</v>
      </c>
      <c r="L44" s="6" t="s">
        <v>29</v>
      </c>
      <c r="M44" s="1" t="s">
        <v>22</v>
      </c>
      <c r="N44" s="1" t="s">
        <v>26</v>
      </c>
      <c r="O44" s="1" t="s">
        <v>343</v>
      </c>
      <c r="P44" s="1" t="s">
        <v>28</v>
      </c>
      <c r="Q44" s="1"/>
      <c r="R44" s="1">
        <v>2</v>
      </c>
      <c r="S44" s="6" t="s">
        <v>238</v>
      </c>
      <c r="T44" s="2">
        <v>35.700000000000003</v>
      </c>
      <c r="U44" s="1"/>
      <c r="W44" s="8">
        <f t="shared" si="15"/>
        <v>35.700000000000003</v>
      </c>
      <c r="Y44" s="3">
        <f t="shared" si="10"/>
        <v>7</v>
      </c>
      <c r="Z44" s="3">
        <f t="shared" si="2"/>
        <v>0</v>
      </c>
      <c r="AA44" s="3">
        <f t="shared" si="11"/>
        <v>7</v>
      </c>
      <c r="AB44" s="34">
        <f t="shared" si="12"/>
        <v>0</v>
      </c>
      <c r="AC44" s="34">
        <f t="shared" si="13"/>
        <v>7</v>
      </c>
      <c r="AD44" s="35">
        <f t="shared" si="9"/>
        <v>0</v>
      </c>
      <c r="AE44" s="35">
        <f t="shared" si="14"/>
        <v>1</v>
      </c>
    </row>
    <row r="45" spans="1:31" x14ac:dyDescent="0.2">
      <c r="A45" s="1" t="s">
        <v>74</v>
      </c>
      <c r="D45" t="s">
        <v>350</v>
      </c>
      <c r="E45" s="5" t="s">
        <v>31</v>
      </c>
      <c r="F45" s="6" t="s">
        <v>214</v>
      </c>
      <c r="G45" s="6" t="s">
        <v>20</v>
      </c>
      <c r="H45" s="6" t="s">
        <v>221</v>
      </c>
      <c r="I45" s="6" t="s">
        <v>20</v>
      </c>
      <c r="J45" s="6" t="s">
        <v>222</v>
      </c>
      <c r="K45" s="6" t="s">
        <v>229</v>
      </c>
      <c r="L45" s="6" t="s">
        <v>29</v>
      </c>
      <c r="M45" s="1"/>
      <c r="N45" s="1" t="s">
        <v>26</v>
      </c>
      <c r="O45" s="1" t="s">
        <v>343</v>
      </c>
      <c r="P45" s="1"/>
      <c r="Q45" s="1"/>
      <c r="R45" s="1">
        <v>3</v>
      </c>
      <c r="S45" s="6" t="s">
        <v>238</v>
      </c>
      <c r="T45" s="2">
        <v>72.099999999999994</v>
      </c>
      <c r="U45" s="1"/>
      <c r="W45" s="8">
        <f t="shared" si="15"/>
        <v>72.099999999999994</v>
      </c>
      <c r="Y45" s="3">
        <f t="shared" si="10"/>
        <v>14</v>
      </c>
      <c r="Z45" s="3">
        <f t="shared" si="2"/>
        <v>1</v>
      </c>
      <c r="AA45" s="3">
        <f t="shared" si="11"/>
        <v>13</v>
      </c>
      <c r="AB45" s="34">
        <f t="shared" si="12"/>
        <v>5</v>
      </c>
      <c r="AC45" s="34">
        <f t="shared" si="13"/>
        <v>13</v>
      </c>
      <c r="AD45" s="35">
        <f t="shared" si="9"/>
        <v>0.27777777777777779</v>
      </c>
      <c r="AE45" s="35">
        <f t="shared" si="14"/>
        <v>0.72222222222222221</v>
      </c>
    </row>
    <row r="46" spans="1:31" x14ac:dyDescent="0.2">
      <c r="A46" s="1" t="s">
        <v>75</v>
      </c>
      <c r="D46" t="s">
        <v>350</v>
      </c>
      <c r="E46" s="3" t="s">
        <v>20</v>
      </c>
      <c r="F46" s="1" t="s">
        <v>217</v>
      </c>
      <c r="G46" s="1" t="s">
        <v>31</v>
      </c>
      <c r="H46" s="1" t="s">
        <v>213</v>
      </c>
      <c r="I46" s="1" t="s">
        <v>31</v>
      </c>
      <c r="J46" s="1" t="s">
        <v>216</v>
      </c>
      <c r="K46" s="1" t="s">
        <v>218</v>
      </c>
      <c r="L46" s="1" t="s">
        <v>29</v>
      </c>
      <c r="M46" s="1" t="s">
        <v>22</v>
      </c>
      <c r="N46" s="1" t="s">
        <v>26</v>
      </c>
      <c r="O46" s="1" t="s">
        <v>343</v>
      </c>
      <c r="P46" s="1" t="s">
        <v>28</v>
      </c>
      <c r="Q46" s="1"/>
      <c r="R46" s="1">
        <v>2</v>
      </c>
      <c r="S46" s="6" t="s">
        <v>238</v>
      </c>
      <c r="T46" s="2">
        <v>54.19</v>
      </c>
      <c r="U46" s="1"/>
      <c r="W46" s="8">
        <f t="shared" si="15"/>
        <v>54.19</v>
      </c>
      <c r="Y46" s="3">
        <f t="shared" si="10"/>
        <v>10</v>
      </c>
      <c r="Z46" s="3">
        <f t="shared" si="2"/>
        <v>0</v>
      </c>
      <c r="AA46" s="3">
        <f t="shared" si="11"/>
        <v>10</v>
      </c>
      <c r="AB46" s="34">
        <f t="shared" si="12"/>
        <v>0</v>
      </c>
      <c r="AC46" s="34">
        <f t="shared" si="13"/>
        <v>10</v>
      </c>
      <c r="AD46" s="35">
        <f t="shared" si="9"/>
        <v>0</v>
      </c>
      <c r="AE46" s="35">
        <f t="shared" si="14"/>
        <v>1</v>
      </c>
    </row>
    <row r="47" spans="1:31" x14ac:dyDescent="0.2">
      <c r="A47" s="1" t="s">
        <v>76</v>
      </c>
      <c r="D47" t="s">
        <v>350</v>
      </c>
      <c r="E47" s="5" t="s">
        <v>31</v>
      </c>
      <c r="F47" s="6" t="s">
        <v>213</v>
      </c>
      <c r="G47" s="6" t="s">
        <v>20</v>
      </c>
      <c r="H47" s="6" t="s">
        <v>232</v>
      </c>
      <c r="I47" s="6" t="s">
        <v>20</v>
      </c>
      <c r="J47" s="6" t="s">
        <v>217</v>
      </c>
      <c r="K47" s="6" t="s">
        <v>233</v>
      </c>
      <c r="L47" s="6" t="s">
        <v>21</v>
      </c>
      <c r="M47" s="1" t="s">
        <v>28</v>
      </c>
      <c r="N47" s="1" t="s">
        <v>26</v>
      </c>
      <c r="O47" s="1" t="s">
        <v>343</v>
      </c>
      <c r="P47" s="1" t="s">
        <v>28</v>
      </c>
      <c r="Q47" s="1"/>
      <c r="R47" s="1">
        <v>3</v>
      </c>
      <c r="S47" s="6" t="s">
        <v>238</v>
      </c>
      <c r="T47" s="2">
        <v>29.2</v>
      </c>
      <c r="U47" s="1"/>
      <c r="W47" s="8">
        <f t="shared" si="15"/>
        <v>29.2</v>
      </c>
      <c r="Y47" s="3">
        <f t="shared" si="10"/>
        <v>5</v>
      </c>
      <c r="Z47" s="3">
        <f t="shared" si="2"/>
        <v>0</v>
      </c>
      <c r="AA47" s="3">
        <f t="shared" si="11"/>
        <v>5</v>
      </c>
      <c r="AB47" s="34">
        <f t="shared" si="12"/>
        <v>0</v>
      </c>
      <c r="AC47" s="34">
        <f t="shared" si="13"/>
        <v>5</v>
      </c>
      <c r="AD47" s="35">
        <f t="shared" si="9"/>
        <v>0</v>
      </c>
      <c r="AE47" s="35">
        <f t="shared" si="14"/>
        <v>1</v>
      </c>
    </row>
    <row r="48" spans="1:31" x14ac:dyDescent="0.2">
      <c r="A48" s="1" t="s">
        <v>77</v>
      </c>
      <c r="D48" t="s">
        <v>350</v>
      </c>
      <c r="E48" s="5" t="s">
        <v>31</v>
      </c>
      <c r="F48" s="6" t="s">
        <v>216</v>
      </c>
      <c r="G48" s="6" t="s">
        <v>20</v>
      </c>
      <c r="H48" s="6" t="s">
        <v>219</v>
      </c>
      <c r="I48" s="6" t="s">
        <v>20</v>
      </c>
      <c r="J48" s="6" t="s">
        <v>221</v>
      </c>
      <c r="K48" s="6" t="s">
        <v>233</v>
      </c>
      <c r="L48" s="6" t="s">
        <v>21</v>
      </c>
      <c r="M48" s="1" t="s">
        <v>247</v>
      </c>
      <c r="N48" s="1" t="s">
        <v>26</v>
      </c>
      <c r="O48" s="1" t="s">
        <v>343</v>
      </c>
      <c r="P48" s="1" t="s">
        <v>28</v>
      </c>
      <c r="Q48" s="1"/>
      <c r="R48" s="1">
        <v>3</v>
      </c>
      <c r="S48" s="6" t="s">
        <v>238</v>
      </c>
      <c r="T48" s="2">
        <v>77.3</v>
      </c>
      <c r="U48" s="1"/>
      <c r="W48" s="8">
        <f t="shared" si="15"/>
        <v>77.3</v>
      </c>
      <c r="Y48" s="3">
        <f t="shared" si="10"/>
        <v>15</v>
      </c>
      <c r="Z48" s="3">
        <f t="shared" si="2"/>
        <v>1</v>
      </c>
      <c r="AA48" s="3">
        <f t="shared" si="11"/>
        <v>14</v>
      </c>
      <c r="AB48" s="34">
        <f t="shared" si="12"/>
        <v>5</v>
      </c>
      <c r="AC48" s="34">
        <f t="shared" si="13"/>
        <v>14</v>
      </c>
      <c r="AD48" s="35">
        <f t="shared" si="9"/>
        <v>0.26315789473684209</v>
      </c>
      <c r="AE48" s="35">
        <f t="shared" si="14"/>
        <v>0.73684210526315785</v>
      </c>
    </row>
    <row r="49" spans="1:31" x14ac:dyDescent="0.2">
      <c r="A49" s="1" t="s">
        <v>78</v>
      </c>
      <c r="D49" t="s">
        <v>350</v>
      </c>
      <c r="E49" s="3" t="s">
        <v>20</v>
      </c>
      <c r="F49" s="1" t="s">
        <v>219</v>
      </c>
      <c r="G49" s="1" t="s">
        <v>31</v>
      </c>
      <c r="H49" s="1" t="s">
        <v>213</v>
      </c>
      <c r="I49" s="1" t="s">
        <v>31</v>
      </c>
      <c r="J49" s="1" t="s">
        <v>216</v>
      </c>
      <c r="K49" s="1" t="s">
        <v>211</v>
      </c>
      <c r="L49" s="1" t="s">
        <v>29</v>
      </c>
      <c r="M49" s="1" t="s">
        <v>245</v>
      </c>
      <c r="N49" s="1" t="s">
        <v>24</v>
      </c>
      <c r="O49" s="1" t="s">
        <v>343</v>
      </c>
      <c r="P49" s="1" t="s">
        <v>23</v>
      </c>
      <c r="Q49" s="1"/>
      <c r="R49" s="1">
        <v>2</v>
      </c>
      <c r="S49" s="6" t="s">
        <v>238</v>
      </c>
      <c r="T49" s="2">
        <v>64.8</v>
      </c>
      <c r="U49" s="1"/>
      <c r="W49" s="8">
        <f t="shared" si="15"/>
        <v>64.8</v>
      </c>
      <c r="Y49" s="3">
        <f t="shared" si="10"/>
        <v>12</v>
      </c>
      <c r="Z49" s="3">
        <f t="shared" si="2"/>
        <v>1</v>
      </c>
      <c r="AA49" s="3">
        <f t="shared" si="11"/>
        <v>11</v>
      </c>
      <c r="AB49" s="34">
        <f t="shared" si="12"/>
        <v>5</v>
      </c>
      <c r="AC49" s="34">
        <f t="shared" si="13"/>
        <v>11</v>
      </c>
      <c r="AD49" s="35">
        <f t="shared" si="9"/>
        <v>0.3125</v>
      </c>
      <c r="AE49" s="35">
        <f t="shared" si="14"/>
        <v>0.6875</v>
      </c>
    </row>
    <row r="50" spans="1:31" x14ac:dyDescent="0.2">
      <c r="A50" s="1" t="s">
        <v>79</v>
      </c>
      <c r="D50" t="s">
        <v>350</v>
      </c>
      <c r="E50" s="5" t="s">
        <v>31</v>
      </c>
      <c r="F50" s="6" t="s">
        <v>214</v>
      </c>
      <c r="G50" s="6" t="s">
        <v>20</v>
      </c>
      <c r="H50" s="6" t="s">
        <v>219</v>
      </c>
      <c r="I50" s="6" t="s">
        <v>20</v>
      </c>
      <c r="J50" s="6" t="s">
        <v>220</v>
      </c>
      <c r="K50" s="6" t="s">
        <v>229</v>
      </c>
      <c r="L50" s="6" t="s">
        <v>21</v>
      </c>
      <c r="M50" s="1"/>
      <c r="N50" s="1" t="s">
        <v>24</v>
      </c>
      <c r="O50" s="1" t="s">
        <v>249</v>
      </c>
      <c r="P50" s="1"/>
      <c r="Q50" s="1"/>
      <c r="R50" s="1">
        <v>3</v>
      </c>
      <c r="S50" s="6" t="s">
        <v>238</v>
      </c>
      <c r="T50" s="2">
        <v>40.9</v>
      </c>
      <c r="U50" s="1"/>
      <c r="W50" s="8">
        <f t="shared" si="15"/>
        <v>40.9</v>
      </c>
      <c r="Y50" s="3">
        <f t="shared" si="10"/>
        <v>8</v>
      </c>
      <c r="Z50" s="3">
        <f t="shared" si="2"/>
        <v>0</v>
      </c>
      <c r="AA50" s="3">
        <f t="shared" si="11"/>
        <v>8</v>
      </c>
      <c r="AB50" s="34">
        <f t="shared" si="12"/>
        <v>0</v>
      </c>
      <c r="AC50" s="34">
        <f t="shared" si="13"/>
        <v>8</v>
      </c>
      <c r="AD50" s="35">
        <f t="shared" si="9"/>
        <v>0</v>
      </c>
      <c r="AE50" s="35">
        <f t="shared" si="14"/>
        <v>1</v>
      </c>
    </row>
    <row r="51" spans="1:31" x14ac:dyDescent="0.2">
      <c r="A51" s="1" t="s">
        <v>80</v>
      </c>
      <c r="D51" t="s">
        <v>350</v>
      </c>
      <c r="E51" s="5" t="s">
        <v>20</v>
      </c>
      <c r="F51" s="6" t="s">
        <v>220</v>
      </c>
      <c r="G51" s="6" t="s">
        <v>31</v>
      </c>
      <c r="H51" s="6" t="s">
        <v>213</v>
      </c>
      <c r="I51" s="6" t="s">
        <v>31</v>
      </c>
      <c r="J51" s="6" t="s">
        <v>216</v>
      </c>
      <c r="K51" s="6" t="s">
        <v>218</v>
      </c>
      <c r="L51" s="6" t="s">
        <v>29</v>
      </c>
      <c r="M51" s="1" t="s">
        <v>22</v>
      </c>
      <c r="N51" s="1" t="s">
        <v>26</v>
      </c>
      <c r="O51" s="1" t="s">
        <v>343</v>
      </c>
      <c r="P51" s="1" t="s">
        <v>28</v>
      </c>
      <c r="Q51" s="1"/>
      <c r="R51" s="1">
        <v>2</v>
      </c>
      <c r="S51" s="6" t="s">
        <v>238</v>
      </c>
      <c r="T51" s="2">
        <v>67.099999999999994</v>
      </c>
      <c r="U51" s="1"/>
      <c r="W51" s="8">
        <f t="shared" si="15"/>
        <v>67.099999999999994</v>
      </c>
      <c r="Y51" s="3">
        <f t="shared" si="10"/>
        <v>13</v>
      </c>
      <c r="Z51" s="3">
        <f t="shared" si="2"/>
        <v>1</v>
      </c>
      <c r="AA51" s="3">
        <f t="shared" si="11"/>
        <v>12</v>
      </c>
      <c r="AB51" s="34">
        <f t="shared" si="12"/>
        <v>5</v>
      </c>
      <c r="AC51" s="34">
        <f t="shared" si="13"/>
        <v>12</v>
      </c>
      <c r="AD51" s="35">
        <f t="shared" si="9"/>
        <v>0.29411764705882354</v>
      </c>
      <c r="AE51" s="35">
        <f t="shared" si="14"/>
        <v>0.70588235294117652</v>
      </c>
    </row>
    <row r="52" spans="1:31" x14ac:dyDescent="0.2">
      <c r="A52" s="1" t="s">
        <v>81</v>
      </c>
      <c r="D52" t="s">
        <v>350</v>
      </c>
      <c r="E52" s="5" t="s">
        <v>31</v>
      </c>
      <c r="F52" s="6" t="s">
        <v>213</v>
      </c>
      <c r="G52" s="6" t="s">
        <v>20</v>
      </c>
      <c r="H52" s="6" t="s">
        <v>219</v>
      </c>
      <c r="I52" s="6" t="s">
        <v>20</v>
      </c>
      <c r="J52" s="6" t="s">
        <v>220</v>
      </c>
      <c r="K52" s="6" t="s">
        <v>233</v>
      </c>
      <c r="L52" s="6" t="s">
        <v>21</v>
      </c>
      <c r="M52" s="1" t="s">
        <v>245</v>
      </c>
      <c r="N52" s="1" t="s">
        <v>26</v>
      </c>
      <c r="O52" s="1" t="s">
        <v>343</v>
      </c>
      <c r="P52" s="1" t="s">
        <v>28</v>
      </c>
      <c r="Q52" s="1"/>
      <c r="R52" s="1">
        <v>3</v>
      </c>
      <c r="S52" s="6" t="s">
        <v>238</v>
      </c>
      <c r="T52" s="2">
        <v>60.6</v>
      </c>
      <c r="U52" s="1"/>
      <c r="W52" s="8">
        <f t="shared" si="15"/>
        <v>60.6</v>
      </c>
      <c r="Y52" s="3">
        <f t="shared" si="10"/>
        <v>12</v>
      </c>
      <c r="Z52" s="3">
        <f t="shared" si="2"/>
        <v>1</v>
      </c>
      <c r="AA52" s="3">
        <f t="shared" si="11"/>
        <v>11</v>
      </c>
      <c r="AB52" s="34">
        <f t="shared" si="12"/>
        <v>5</v>
      </c>
      <c r="AC52" s="34">
        <f t="shared" si="13"/>
        <v>11</v>
      </c>
      <c r="AD52" s="35">
        <f t="shared" si="9"/>
        <v>0.3125</v>
      </c>
      <c r="AE52" s="35">
        <f t="shared" si="14"/>
        <v>0.6875</v>
      </c>
    </row>
    <row r="53" spans="1:31" x14ac:dyDescent="0.2">
      <c r="A53" s="1" t="s">
        <v>82</v>
      </c>
      <c r="D53" t="s">
        <v>350</v>
      </c>
      <c r="E53" s="3" t="s">
        <v>20</v>
      </c>
      <c r="F53" s="1" t="s">
        <v>212</v>
      </c>
      <c r="G53" s="1" t="s">
        <v>31</v>
      </c>
      <c r="H53" s="1" t="s">
        <v>213</v>
      </c>
      <c r="I53" s="1" t="s">
        <v>31</v>
      </c>
      <c r="J53" s="1" t="s">
        <v>214</v>
      </c>
      <c r="K53" s="1" t="s">
        <v>211</v>
      </c>
      <c r="L53" s="1" t="s">
        <v>29</v>
      </c>
      <c r="M53" s="1"/>
      <c r="N53" s="1" t="s">
        <v>26</v>
      </c>
      <c r="O53" s="1" t="s">
        <v>343</v>
      </c>
      <c r="P53" s="1"/>
      <c r="Q53" s="1"/>
      <c r="R53" s="1">
        <v>2</v>
      </c>
      <c r="S53" s="6" t="s">
        <v>238</v>
      </c>
      <c r="T53" s="2">
        <v>32.299999999999997</v>
      </c>
      <c r="U53" s="1"/>
      <c r="W53" s="8">
        <f t="shared" si="15"/>
        <v>32.299999999999997</v>
      </c>
      <c r="Y53" s="3">
        <f t="shared" si="10"/>
        <v>6</v>
      </c>
      <c r="Z53" s="3">
        <f t="shared" si="2"/>
        <v>0</v>
      </c>
      <c r="AA53" s="3">
        <f t="shared" si="11"/>
        <v>6</v>
      </c>
      <c r="AB53" s="34">
        <f t="shared" si="12"/>
        <v>0</v>
      </c>
      <c r="AC53" s="34">
        <f t="shared" si="13"/>
        <v>6</v>
      </c>
      <c r="AD53" s="35">
        <f t="shared" si="9"/>
        <v>0</v>
      </c>
      <c r="AE53" s="35">
        <f t="shared" si="14"/>
        <v>1</v>
      </c>
    </row>
    <row r="54" spans="1:31" x14ac:dyDescent="0.2">
      <c r="A54" s="1" t="s">
        <v>83</v>
      </c>
      <c r="D54" t="s">
        <v>350</v>
      </c>
      <c r="E54" s="5" t="s">
        <v>31</v>
      </c>
      <c r="F54" s="6" t="s">
        <v>213</v>
      </c>
      <c r="G54" s="6" t="s">
        <v>20</v>
      </c>
      <c r="H54" s="6" t="s">
        <v>212</v>
      </c>
      <c r="I54" s="6" t="s">
        <v>20</v>
      </c>
      <c r="J54" s="6" t="s">
        <v>232</v>
      </c>
      <c r="K54" s="6" t="s">
        <v>233</v>
      </c>
      <c r="L54" s="6" t="s">
        <v>21</v>
      </c>
      <c r="M54" s="1" t="s">
        <v>28</v>
      </c>
      <c r="N54" s="1" t="s">
        <v>26</v>
      </c>
      <c r="O54" s="1" t="s">
        <v>343</v>
      </c>
      <c r="P54" s="1" t="s">
        <v>28</v>
      </c>
      <c r="Q54" s="1"/>
      <c r="R54" s="1">
        <v>3</v>
      </c>
      <c r="S54" s="6" t="s">
        <v>238</v>
      </c>
      <c r="T54" s="2">
        <v>37.200000000000003</v>
      </c>
      <c r="U54" s="1"/>
      <c r="W54" s="8">
        <f t="shared" si="15"/>
        <v>37.200000000000003</v>
      </c>
      <c r="Y54" s="3">
        <f t="shared" si="10"/>
        <v>7</v>
      </c>
      <c r="Z54" s="3">
        <f t="shared" si="2"/>
        <v>0</v>
      </c>
      <c r="AA54" s="3">
        <f t="shared" si="11"/>
        <v>7</v>
      </c>
      <c r="AB54" s="34">
        <f t="shared" si="12"/>
        <v>0</v>
      </c>
      <c r="AC54" s="34">
        <f t="shared" si="13"/>
        <v>7</v>
      </c>
      <c r="AD54" s="35">
        <f t="shared" si="9"/>
        <v>0</v>
      </c>
      <c r="AE54" s="35">
        <f t="shared" si="14"/>
        <v>1</v>
      </c>
    </row>
    <row r="55" spans="1:31" x14ac:dyDescent="0.2">
      <c r="A55" s="1" t="s">
        <v>84</v>
      </c>
      <c r="D55" t="s">
        <v>350</v>
      </c>
      <c r="E55" s="5" t="s">
        <v>31</v>
      </c>
      <c r="F55" s="6" t="s">
        <v>214</v>
      </c>
      <c r="G55" s="6" t="s">
        <v>20</v>
      </c>
      <c r="H55" s="6" t="s">
        <v>222</v>
      </c>
      <c r="I55" s="6" t="s">
        <v>20</v>
      </c>
      <c r="J55" s="6" t="s">
        <v>225</v>
      </c>
      <c r="K55" s="6" t="s">
        <v>229</v>
      </c>
      <c r="L55" s="6" t="s">
        <v>29</v>
      </c>
      <c r="M55" s="1"/>
      <c r="N55" s="1" t="s">
        <v>26</v>
      </c>
      <c r="O55" s="1" t="s">
        <v>343</v>
      </c>
      <c r="P55" s="1"/>
      <c r="Q55" s="1"/>
      <c r="R55" s="1">
        <v>3</v>
      </c>
      <c r="S55" s="6" t="s">
        <v>238</v>
      </c>
      <c r="T55" s="2">
        <v>65.400000000000006</v>
      </c>
      <c r="U55" s="1"/>
      <c r="W55" s="8">
        <f t="shared" si="15"/>
        <v>65.400000000000006</v>
      </c>
      <c r="Y55" s="3">
        <f t="shared" si="10"/>
        <v>13</v>
      </c>
      <c r="Z55" s="3">
        <f t="shared" si="2"/>
        <v>1</v>
      </c>
      <c r="AA55" s="3">
        <f t="shared" si="11"/>
        <v>12</v>
      </c>
      <c r="AB55" s="34">
        <f t="shared" si="12"/>
        <v>5</v>
      </c>
      <c r="AC55" s="34">
        <f t="shared" si="13"/>
        <v>12</v>
      </c>
      <c r="AD55" s="35">
        <f t="shared" si="9"/>
        <v>0.29411764705882354</v>
      </c>
      <c r="AE55" s="35">
        <f t="shared" si="14"/>
        <v>0.70588235294117652</v>
      </c>
    </row>
    <row r="56" spans="1:31" x14ac:dyDescent="0.2">
      <c r="A56" s="1" t="s">
        <v>85</v>
      </c>
      <c r="D56" t="s">
        <v>350</v>
      </c>
      <c r="E56" s="5" t="s">
        <v>31</v>
      </c>
      <c r="F56" s="6" t="s">
        <v>214</v>
      </c>
      <c r="G56" s="6" t="s">
        <v>20</v>
      </c>
      <c r="H56" s="6" t="s">
        <v>217</v>
      </c>
      <c r="I56" s="6" t="s">
        <v>20</v>
      </c>
      <c r="J56" s="6" t="s">
        <v>219</v>
      </c>
      <c r="K56" s="6" t="s">
        <v>229</v>
      </c>
      <c r="L56" s="6" t="s">
        <v>29</v>
      </c>
      <c r="M56" s="1"/>
      <c r="N56" s="1" t="s">
        <v>26</v>
      </c>
      <c r="O56" s="1" t="s">
        <v>343</v>
      </c>
      <c r="P56" s="1"/>
      <c r="Q56" s="1"/>
      <c r="R56" s="1">
        <v>3</v>
      </c>
      <c r="S56" s="6" t="s">
        <v>238</v>
      </c>
      <c r="T56" s="2">
        <v>60.1</v>
      </c>
      <c r="U56" s="1"/>
      <c r="W56" s="8">
        <f t="shared" si="15"/>
        <v>60.1</v>
      </c>
      <c r="Y56" s="3">
        <f t="shared" si="10"/>
        <v>12</v>
      </c>
      <c r="Z56" s="3">
        <f t="shared" si="2"/>
        <v>1</v>
      </c>
      <c r="AA56" s="3">
        <f t="shared" si="11"/>
        <v>11</v>
      </c>
      <c r="AB56" s="34">
        <f t="shared" si="12"/>
        <v>5</v>
      </c>
      <c r="AC56" s="34">
        <f t="shared" si="13"/>
        <v>11</v>
      </c>
      <c r="AD56" s="35">
        <f t="shared" si="9"/>
        <v>0.3125</v>
      </c>
      <c r="AE56" s="35">
        <f t="shared" si="14"/>
        <v>0.6875</v>
      </c>
    </row>
    <row r="57" spans="1:31" x14ac:dyDescent="0.2">
      <c r="A57" s="1" t="s">
        <v>86</v>
      </c>
      <c r="D57" t="s">
        <v>350</v>
      </c>
      <c r="E57" s="5" t="s">
        <v>31</v>
      </c>
      <c r="F57" s="6" t="s">
        <v>235</v>
      </c>
      <c r="G57" s="6" t="s">
        <v>31</v>
      </c>
      <c r="H57" s="6" t="s">
        <v>223</v>
      </c>
      <c r="I57" s="6" t="s">
        <v>20</v>
      </c>
      <c r="J57" s="6" t="s">
        <v>228</v>
      </c>
      <c r="K57" s="6" t="s">
        <v>233</v>
      </c>
      <c r="L57" s="6" t="s">
        <v>29</v>
      </c>
      <c r="M57" s="1"/>
      <c r="N57" s="1" t="s">
        <v>26</v>
      </c>
      <c r="O57" s="1" t="s">
        <v>343</v>
      </c>
      <c r="P57" s="1"/>
      <c r="Q57" s="1"/>
      <c r="R57" s="1"/>
      <c r="S57" s="6" t="s">
        <v>238</v>
      </c>
      <c r="T57" s="2">
        <v>153.5</v>
      </c>
      <c r="U57" s="1"/>
      <c r="W57" s="8">
        <f t="shared" si="15"/>
        <v>153.5</v>
      </c>
      <c r="Y57" s="3">
        <f t="shared" si="10"/>
        <v>30</v>
      </c>
      <c r="Z57" s="3">
        <f t="shared" si="2"/>
        <v>1</v>
      </c>
      <c r="AA57" s="3">
        <f t="shared" si="11"/>
        <v>29</v>
      </c>
      <c r="AB57" s="34">
        <f t="shared" si="12"/>
        <v>5</v>
      </c>
      <c r="AC57" s="34">
        <f t="shared" si="13"/>
        <v>29</v>
      </c>
      <c r="AD57" s="35">
        <f t="shared" si="9"/>
        <v>0.14705882352941177</v>
      </c>
      <c r="AE57" s="35">
        <f t="shared" si="14"/>
        <v>0.8529411764705882</v>
      </c>
    </row>
    <row r="58" spans="1:31" x14ac:dyDescent="0.2">
      <c r="A58" s="1" t="s">
        <v>87</v>
      </c>
      <c r="D58" t="s">
        <v>350</v>
      </c>
      <c r="E58" s="5" t="s">
        <v>31</v>
      </c>
      <c r="F58" s="6" t="s">
        <v>216</v>
      </c>
      <c r="G58" s="6" t="s">
        <v>20</v>
      </c>
      <c r="H58" s="6" t="s">
        <v>217</v>
      </c>
      <c r="I58" s="6" t="s">
        <v>20</v>
      </c>
      <c r="J58" s="6" t="s">
        <v>219</v>
      </c>
      <c r="K58" s="6" t="s">
        <v>233</v>
      </c>
      <c r="L58" s="6" t="s">
        <v>29</v>
      </c>
      <c r="M58" s="1" t="s">
        <v>247</v>
      </c>
      <c r="N58" s="1" t="s">
        <v>26</v>
      </c>
      <c r="O58" s="1" t="s">
        <v>343</v>
      </c>
      <c r="P58" s="1" t="s">
        <v>28</v>
      </c>
      <c r="Q58" s="1"/>
      <c r="R58" s="1">
        <v>3</v>
      </c>
      <c r="S58" s="6" t="s">
        <v>238</v>
      </c>
      <c r="T58" s="2">
        <v>44.4</v>
      </c>
      <c r="U58" s="1"/>
      <c r="W58" s="8">
        <f t="shared" si="15"/>
        <v>44.4</v>
      </c>
      <c r="Y58" s="3">
        <f t="shared" si="10"/>
        <v>8</v>
      </c>
      <c r="Z58" s="3">
        <f t="shared" si="2"/>
        <v>0</v>
      </c>
      <c r="AA58" s="3">
        <f t="shared" si="11"/>
        <v>8</v>
      </c>
      <c r="AB58" s="34">
        <f t="shared" si="12"/>
        <v>0</v>
      </c>
      <c r="AC58" s="34">
        <f t="shared" si="13"/>
        <v>8</v>
      </c>
      <c r="AD58" s="35">
        <f t="shared" si="9"/>
        <v>0</v>
      </c>
      <c r="AE58" s="35">
        <f t="shared" si="14"/>
        <v>1</v>
      </c>
    </row>
    <row r="59" spans="1:31" x14ac:dyDescent="0.2">
      <c r="A59" s="1" t="s">
        <v>88</v>
      </c>
      <c r="D59" t="s">
        <v>350</v>
      </c>
      <c r="E59" s="5" t="s">
        <v>31</v>
      </c>
      <c r="F59" s="6" t="s">
        <v>216</v>
      </c>
      <c r="G59" s="6" t="s">
        <v>20</v>
      </c>
      <c r="H59" s="6" t="s">
        <v>232</v>
      </c>
      <c r="I59" s="6" t="s">
        <v>20</v>
      </c>
      <c r="J59" s="6" t="s">
        <v>217</v>
      </c>
      <c r="K59" s="6" t="s">
        <v>233</v>
      </c>
      <c r="L59" s="6" t="s">
        <v>29</v>
      </c>
      <c r="M59" s="1" t="s">
        <v>247</v>
      </c>
      <c r="N59" s="1" t="s">
        <v>26</v>
      </c>
      <c r="O59" s="1" t="s">
        <v>343</v>
      </c>
      <c r="P59" s="1" t="s">
        <v>28</v>
      </c>
      <c r="Q59" s="1"/>
      <c r="R59" s="1">
        <v>3</v>
      </c>
      <c r="S59" s="6" t="s">
        <v>238</v>
      </c>
      <c r="T59" s="2">
        <v>67.39</v>
      </c>
      <c r="U59" s="1"/>
      <c r="W59" s="8">
        <f t="shared" si="15"/>
        <v>67.39</v>
      </c>
      <c r="Y59" s="3">
        <f t="shared" si="10"/>
        <v>13</v>
      </c>
      <c r="Z59" s="3">
        <f t="shared" si="2"/>
        <v>1</v>
      </c>
      <c r="AA59" s="3">
        <f t="shared" si="11"/>
        <v>12</v>
      </c>
      <c r="AB59" s="34">
        <f t="shared" si="12"/>
        <v>5</v>
      </c>
      <c r="AC59" s="34">
        <f t="shared" si="13"/>
        <v>12</v>
      </c>
      <c r="AD59" s="35">
        <f t="shared" si="9"/>
        <v>0.29411764705882354</v>
      </c>
      <c r="AE59" s="35">
        <f t="shared" si="14"/>
        <v>0.70588235294117652</v>
      </c>
    </row>
    <row r="60" spans="1:31" x14ac:dyDescent="0.2">
      <c r="A60" s="1" t="s">
        <v>89</v>
      </c>
      <c r="D60" t="s">
        <v>350</v>
      </c>
      <c r="E60" s="5" t="s">
        <v>31</v>
      </c>
      <c r="F60" s="6" t="s">
        <v>216</v>
      </c>
      <c r="G60" s="6" t="s">
        <v>20</v>
      </c>
      <c r="H60" s="6" t="s">
        <v>212</v>
      </c>
      <c r="I60" s="6" t="s">
        <v>20</v>
      </c>
      <c r="J60" s="6" t="s">
        <v>232</v>
      </c>
      <c r="K60" s="6" t="s">
        <v>233</v>
      </c>
      <c r="L60" s="6" t="s">
        <v>29</v>
      </c>
      <c r="M60" s="1" t="s">
        <v>247</v>
      </c>
      <c r="N60" s="1" t="s">
        <v>26</v>
      </c>
      <c r="O60" s="1" t="s">
        <v>343</v>
      </c>
      <c r="P60" s="1" t="s">
        <v>23</v>
      </c>
      <c r="Q60" s="1"/>
      <c r="R60" s="1">
        <v>3</v>
      </c>
      <c r="S60" s="6" t="s">
        <v>238</v>
      </c>
      <c r="T60" s="2">
        <v>63.6</v>
      </c>
      <c r="U60" s="1"/>
      <c r="W60" s="8">
        <f t="shared" si="15"/>
        <v>63.6</v>
      </c>
      <c r="Y60" s="3">
        <f t="shared" si="10"/>
        <v>12</v>
      </c>
      <c r="Z60" s="3">
        <f t="shared" si="2"/>
        <v>1</v>
      </c>
      <c r="AA60" s="3">
        <f t="shared" si="11"/>
        <v>11</v>
      </c>
      <c r="AB60" s="34">
        <f t="shared" si="12"/>
        <v>5</v>
      </c>
      <c r="AC60" s="34">
        <f t="shared" si="13"/>
        <v>11</v>
      </c>
      <c r="AD60" s="35">
        <f t="shared" si="9"/>
        <v>0.3125</v>
      </c>
      <c r="AE60" s="35">
        <f t="shared" si="14"/>
        <v>0.6875</v>
      </c>
    </row>
    <row r="61" spans="1:31" x14ac:dyDescent="0.2">
      <c r="A61" s="1" t="s">
        <v>90</v>
      </c>
      <c r="D61" t="s">
        <v>350</v>
      </c>
      <c r="E61" s="3" t="s">
        <v>20</v>
      </c>
      <c r="F61" s="1" t="s">
        <v>212</v>
      </c>
      <c r="G61" s="1" t="s">
        <v>31</v>
      </c>
      <c r="H61" s="1" t="s">
        <v>214</v>
      </c>
      <c r="I61" s="1" t="s">
        <v>31</v>
      </c>
      <c r="J61" s="1" t="s">
        <v>216</v>
      </c>
      <c r="K61" s="1" t="s">
        <v>211</v>
      </c>
      <c r="L61" s="1" t="s">
        <v>29</v>
      </c>
      <c r="M61" s="1" t="s">
        <v>22</v>
      </c>
      <c r="N61" s="1" t="s">
        <v>26</v>
      </c>
      <c r="O61" s="1" t="s">
        <v>343</v>
      </c>
      <c r="P61" s="1" t="s">
        <v>28</v>
      </c>
      <c r="Q61" s="1"/>
      <c r="R61" s="1">
        <v>2</v>
      </c>
      <c r="S61" s="6" t="s">
        <v>238</v>
      </c>
      <c r="T61" s="2">
        <v>57.5</v>
      </c>
      <c r="U61" s="1"/>
      <c r="W61" s="8">
        <f t="shared" si="15"/>
        <v>57.5</v>
      </c>
      <c r="Y61" s="3">
        <f t="shared" si="10"/>
        <v>11</v>
      </c>
      <c r="Z61" s="3">
        <f t="shared" si="2"/>
        <v>1</v>
      </c>
      <c r="AA61" s="3">
        <f t="shared" si="11"/>
        <v>10</v>
      </c>
      <c r="AB61" s="34">
        <f t="shared" si="12"/>
        <v>5</v>
      </c>
      <c r="AC61" s="34">
        <f t="shared" si="13"/>
        <v>10</v>
      </c>
      <c r="AD61" s="35">
        <f t="shared" si="9"/>
        <v>0.33333333333333331</v>
      </c>
      <c r="AE61" s="35">
        <f t="shared" si="14"/>
        <v>0.66666666666666663</v>
      </c>
    </row>
    <row r="62" spans="1:31" x14ac:dyDescent="0.2">
      <c r="A62" s="7" t="s">
        <v>236</v>
      </c>
      <c r="D62" t="s">
        <v>350</v>
      </c>
      <c r="E62" s="5" t="s">
        <v>20</v>
      </c>
      <c r="F62" s="6" t="s">
        <v>212</v>
      </c>
      <c r="G62" s="6" t="s">
        <v>31</v>
      </c>
      <c r="H62" s="6" t="s">
        <v>215</v>
      </c>
      <c r="I62" s="6" t="s">
        <v>31</v>
      </c>
      <c r="J62" s="6" t="s">
        <v>213</v>
      </c>
      <c r="K62" s="6" t="s">
        <v>211</v>
      </c>
      <c r="L62" s="6" t="s">
        <v>21</v>
      </c>
      <c r="M62" s="1"/>
      <c r="N62" s="1" t="s">
        <v>26</v>
      </c>
      <c r="O62" s="1" t="s">
        <v>343</v>
      </c>
      <c r="P62" s="1"/>
      <c r="Q62" s="1"/>
      <c r="R62" s="1">
        <v>2</v>
      </c>
      <c r="S62" s="6" t="s">
        <v>238</v>
      </c>
      <c r="T62" s="2">
        <v>110.7</v>
      </c>
      <c r="U62" s="1"/>
      <c r="W62" s="8">
        <f t="shared" si="15"/>
        <v>110.7</v>
      </c>
      <c r="Y62" s="3">
        <f t="shared" si="10"/>
        <v>22</v>
      </c>
      <c r="Z62" s="3">
        <f t="shared" si="2"/>
        <v>1</v>
      </c>
      <c r="AA62" s="3">
        <f t="shared" si="11"/>
        <v>21</v>
      </c>
      <c r="AB62" s="34">
        <f t="shared" si="12"/>
        <v>5</v>
      </c>
      <c r="AC62" s="34">
        <f t="shared" si="13"/>
        <v>21</v>
      </c>
      <c r="AD62" s="35">
        <f t="shared" si="9"/>
        <v>0.19230769230769232</v>
      </c>
      <c r="AE62" s="35">
        <f t="shared" si="14"/>
        <v>0.80769230769230771</v>
      </c>
    </row>
    <row r="63" spans="1:31" x14ac:dyDescent="0.2">
      <c r="A63" s="7" t="s">
        <v>230</v>
      </c>
      <c r="D63" t="s">
        <v>350</v>
      </c>
      <c r="E63" s="5" t="s">
        <v>20</v>
      </c>
      <c r="F63" s="6" t="s">
        <v>227</v>
      </c>
      <c r="G63" s="6" t="s">
        <v>31</v>
      </c>
      <c r="H63" s="6" t="s">
        <v>215</v>
      </c>
      <c r="I63" s="6" t="s">
        <v>31</v>
      </c>
      <c r="J63" s="6" t="s">
        <v>213</v>
      </c>
      <c r="K63" s="6" t="s">
        <v>218</v>
      </c>
      <c r="L63" s="6" t="s">
        <v>29</v>
      </c>
      <c r="M63" s="1" t="s">
        <v>28</v>
      </c>
      <c r="N63" s="1" t="s">
        <v>26</v>
      </c>
      <c r="O63" s="1" t="s">
        <v>343</v>
      </c>
      <c r="P63" s="1" t="s">
        <v>27</v>
      </c>
      <c r="Q63" s="1"/>
      <c r="R63" s="1">
        <v>2</v>
      </c>
      <c r="S63" s="6" t="s">
        <v>238</v>
      </c>
      <c r="T63" s="2">
        <v>62.9</v>
      </c>
      <c r="U63" s="1"/>
      <c r="W63" s="8">
        <f t="shared" si="15"/>
        <v>62.9</v>
      </c>
      <c r="Y63" s="3">
        <f t="shared" si="10"/>
        <v>12</v>
      </c>
      <c r="Z63" s="3">
        <f t="shared" si="2"/>
        <v>1</v>
      </c>
      <c r="AA63" s="3">
        <f t="shared" si="11"/>
        <v>11</v>
      </c>
      <c r="AB63" s="34">
        <f t="shared" si="12"/>
        <v>5</v>
      </c>
      <c r="AC63" s="34">
        <f t="shared" si="13"/>
        <v>11</v>
      </c>
      <c r="AD63" s="35">
        <f t="shared" si="9"/>
        <v>0.3125</v>
      </c>
      <c r="AE63" s="35">
        <f t="shared" si="14"/>
        <v>0.6875</v>
      </c>
    </row>
    <row r="64" spans="1:31" x14ac:dyDescent="0.2">
      <c r="A64" s="1" t="s">
        <v>92</v>
      </c>
      <c r="D64" t="s">
        <v>350</v>
      </c>
      <c r="E64" s="3" t="s">
        <v>20</v>
      </c>
      <c r="F64" s="1" t="s">
        <v>225</v>
      </c>
      <c r="G64" s="1" t="s">
        <v>31</v>
      </c>
      <c r="H64" s="1" t="s">
        <v>215</v>
      </c>
      <c r="I64" s="1" t="s">
        <v>31</v>
      </c>
      <c r="J64" s="1" t="s">
        <v>213</v>
      </c>
      <c r="K64" s="1" t="s">
        <v>211</v>
      </c>
      <c r="L64" s="1" t="s">
        <v>29</v>
      </c>
      <c r="M64" s="1" t="s">
        <v>22</v>
      </c>
      <c r="N64" s="1" t="s">
        <v>26</v>
      </c>
      <c r="O64" s="1" t="s">
        <v>343</v>
      </c>
      <c r="P64" s="1" t="s">
        <v>28</v>
      </c>
      <c r="Q64" s="1"/>
      <c r="R64" s="1">
        <v>2</v>
      </c>
      <c r="S64" s="6" t="s">
        <v>238</v>
      </c>
      <c r="T64" s="2">
        <v>82.6</v>
      </c>
      <c r="U64" s="1"/>
      <c r="W64" s="8">
        <f t="shared" si="15"/>
        <v>82.6</v>
      </c>
      <c r="Y64" s="3">
        <f t="shared" si="10"/>
        <v>16</v>
      </c>
      <c r="Z64" s="3">
        <f t="shared" si="2"/>
        <v>1</v>
      </c>
      <c r="AA64" s="3">
        <f t="shared" si="11"/>
        <v>15</v>
      </c>
      <c r="AB64" s="34">
        <f t="shared" si="12"/>
        <v>5</v>
      </c>
      <c r="AC64" s="34">
        <f t="shared" si="13"/>
        <v>15</v>
      </c>
      <c r="AD64" s="35">
        <f t="shared" si="9"/>
        <v>0.25</v>
      </c>
      <c r="AE64" s="35">
        <f t="shared" si="14"/>
        <v>0.75</v>
      </c>
    </row>
    <row r="65" spans="1:31" x14ac:dyDescent="0.2">
      <c r="A65" s="1" t="s">
        <v>93</v>
      </c>
      <c r="D65" t="s">
        <v>350</v>
      </c>
      <c r="E65" s="5" t="s">
        <v>31</v>
      </c>
      <c r="F65" s="6" t="s">
        <v>213</v>
      </c>
      <c r="G65" s="6" t="s">
        <v>20</v>
      </c>
      <c r="H65" s="6" t="s">
        <v>225</v>
      </c>
      <c r="I65" s="6" t="s">
        <v>20</v>
      </c>
      <c r="J65" s="6" t="s">
        <v>227</v>
      </c>
      <c r="K65" s="6" t="s">
        <v>233</v>
      </c>
      <c r="L65" s="6" t="s">
        <v>29</v>
      </c>
      <c r="M65" s="1" t="s">
        <v>245</v>
      </c>
      <c r="N65" s="1" t="s">
        <v>26</v>
      </c>
      <c r="O65" s="1" t="s">
        <v>343</v>
      </c>
      <c r="P65" s="1" t="s">
        <v>28</v>
      </c>
      <c r="Q65" s="1"/>
      <c r="R65" s="6">
        <v>3</v>
      </c>
      <c r="S65" s="1" t="s">
        <v>238</v>
      </c>
      <c r="T65" s="2">
        <v>69.3</v>
      </c>
      <c r="U65" s="1"/>
      <c r="W65" s="8">
        <f t="shared" si="15"/>
        <v>69.3</v>
      </c>
      <c r="Y65" s="3">
        <f t="shared" si="10"/>
        <v>13</v>
      </c>
      <c r="Z65" s="3">
        <f t="shared" si="2"/>
        <v>1</v>
      </c>
      <c r="AA65" s="3">
        <f t="shared" si="11"/>
        <v>12</v>
      </c>
      <c r="AB65" s="34">
        <f t="shared" si="12"/>
        <v>5</v>
      </c>
      <c r="AC65" s="34">
        <f t="shared" si="13"/>
        <v>12</v>
      </c>
      <c r="AD65" s="35">
        <f t="shared" si="9"/>
        <v>0.29411764705882354</v>
      </c>
      <c r="AE65" s="35">
        <f t="shared" si="14"/>
        <v>0.70588235294117652</v>
      </c>
    </row>
    <row r="66" spans="1:31" x14ac:dyDescent="0.2">
      <c r="A66" s="1" t="s">
        <v>94</v>
      </c>
      <c r="D66" t="s">
        <v>350</v>
      </c>
      <c r="E66" s="5" t="s">
        <v>31</v>
      </c>
      <c r="F66" s="6" t="s">
        <v>213</v>
      </c>
      <c r="G66" s="6" t="s">
        <v>20</v>
      </c>
      <c r="H66" s="6" t="s">
        <v>225</v>
      </c>
      <c r="I66" s="6" t="s">
        <v>20</v>
      </c>
      <c r="J66" s="6" t="s">
        <v>227</v>
      </c>
      <c r="K66" s="6" t="s">
        <v>233</v>
      </c>
      <c r="L66" s="6" t="s">
        <v>21</v>
      </c>
      <c r="M66" s="1" t="s">
        <v>22</v>
      </c>
      <c r="N66" s="1" t="s">
        <v>26</v>
      </c>
      <c r="O66" s="1" t="s">
        <v>343</v>
      </c>
      <c r="P66" s="1" t="s">
        <v>28</v>
      </c>
      <c r="Q66" s="1"/>
      <c r="R66" s="6">
        <v>3</v>
      </c>
      <c r="S66" s="1" t="s">
        <v>238</v>
      </c>
      <c r="T66" s="2">
        <v>64.2</v>
      </c>
      <c r="U66" s="1"/>
      <c r="W66" s="8">
        <f t="shared" ref="W66:W90" si="16">T66-4*U66</f>
        <v>64.2</v>
      </c>
      <c r="Y66" s="3">
        <f t="shared" si="10"/>
        <v>12</v>
      </c>
      <c r="Z66" s="3">
        <f t="shared" si="2"/>
        <v>1</v>
      </c>
      <c r="AA66" s="3">
        <f t="shared" si="11"/>
        <v>11</v>
      </c>
      <c r="AB66" s="34">
        <f t="shared" si="12"/>
        <v>5</v>
      </c>
      <c r="AC66" s="34">
        <f t="shared" si="13"/>
        <v>11</v>
      </c>
      <c r="AD66" s="35">
        <f t="shared" si="9"/>
        <v>0.3125</v>
      </c>
      <c r="AE66" s="35">
        <f t="shared" si="14"/>
        <v>0.6875</v>
      </c>
    </row>
    <row r="67" spans="1:31" x14ac:dyDescent="0.2">
      <c r="A67" s="4" t="s">
        <v>91</v>
      </c>
      <c r="D67" t="s">
        <v>350</v>
      </c>
      <c r="E67" s="5" t="s">
        <v>31</v>
      </c>
      <c r="F67" s="6" t="s">
        <v>215</v>
      </c>
      <c r="G67" s="6" t="s">
        <v>20</v>
      </c>
      <c r="H67" s="6" t="s">
        <v>225</v>
      </c>
      <c r="I67" s="6" t="s">
        <v>20</v>
      </c>
      <c r="J67" s="6" t="s">
        <v>227</v>
      </c>
      <c r="K67" s="6" t="s">
        <v>229</v>
      </c>
      <c r="L67" s="6" t="s">
        <v>29</v>
      </c>
      <c r="M67" s="1" t="s">
        <v>22</v>
      </c>
      <c r="N67" s="1" t="s">
        <v>26</v>
      </c>
      <c r="O67" s="1" t="s">
        <v>343</v>
      </c>
      <c r="P67" s="1" t="s">
        <v>28</v>
      </c>
      <c r="Q67" s="1"/>
      <c r="R67" s="1">
        <v>2</v>
      </c>
      <c r="S67" s="6" t="s">
        <v>238</v>
      </c>
      <c r="T67" s="2">
        <v>65.7</v>
      </c>
      <c r="U67" s="1"/>
      <c r="W67" s="8">
        <f t="shared" si="16"/>
        <v>65.7</v>
      </c>
      <c r="Y67" s="3">
        <f t="shared" si="10"/>
        <v>13</v>
      </c>
      <c r="Z67" s="3">
        <f t="shared" ref="Z67:Z130" si="17">ROUND(Y67*$AI$8,0)</f>
        <v>1</v>
      </c>
      <c r="AA67" s="3">
        <f t="shared" si="11"/>
        <v>12</v>
      </c>
      <c r="AB67" s="34">
        <f t="shared" si="12"/>
        <v>5</v>
      </c>
      <c r="AC67" s="34">
        <f t="shared" si="13"/>
        <v>12</v>
      </c>
      <c r="AD67" s="35">
        <f t="shared" si="9"/>
        <v>0.29411764705882354</v>
      </c>
      <c r="AE67" s="35">
        <f t="shared" si="14"/>
        <v>0.70588235294117652</v>
      </c>
    </row>
    <row r="68" spans="1:31" x14ac:dyDescent="0.2">
      <c r="A68" s="4" t="s">
        <v>95</v>
      </c>
      <c r="D68" t="s">
        <v>350</v>
      </c>
      <c r="E68" s="5" t="s">
        <v>31</v>
      </c>
      <c r="F68" s="6" t="s">
        <v>215</v>
      </c>
      <c r="G68" s="6" t="s">
        <v>20</v>
      </c>
      <c r="H68" s="6" t="s">
        <v>227</v>
      </c>
      <c r="I68" s="6" t="s">
        <v>20</v>
      </c>
      <c r="J68" s="6" t="s">
        <v>228</v>
      </c>
      <c r="K68" s="6" t="s">
        <v>229</v>
      </c>
      <c r="L68" s="6" t="s">
        <v>29</v>
      </c>
      <c r="M68" s="1" t="s">
        <v>22</v>
      </c>
      <c r="N68" s="1" t="s">
        <v>26</v>
      </c>
      <c r="O68" s="1" t="s">
        <v>343</v>
      </c>
      <c r="P68" s="1" t="s">
        <v>28</v>
      </c>
      <c r="Q68" s="1"/>
      <c r="R68" s="1">
        <v>2</v>
      </c>
      <c r="S68" s="6" t="s">
        <v>238</v>
      </c>
      <c r="T68" s="2">
        <v>103.1</v>
      </c>
      <c r="U68" s="1">
        <v>3</v>
      </c>
      <c r="W68" s="8">
        <f t="shared" si="16"/>
        <v>91.1</v>
      </c>
      <c r="Y68" s="3">
        <f t="shared" si="10"/>
        <v>18</v>
      </c>
      <c r="Z68" s="3">
        <f t="shared" si="17"/>
        <v>1</v>
      </c>
      <c r="AA68" s="3">
        <f t="shared" si="11"/>
        <v>17</v>
      </c>
      <c r="AB68" s="34">
        <f t="shared" si="12"/>
        <v>5</v>
      </c>
      <c r="AC68" s="34">
        <f t="shared" si="13"/>
        <v>17</v>
      </c>
      <c r="AD68" s="35">
        <f t="shared" si="9"/>
        <v>0.22727272727272727</v>
      </c>
      <c r="AE68" s="35">
        <f t="shared" si="14"/>
        <v>0.77272727272727271</v>
      </c>
    </row>
    <row r="69" spans="1:31" x14ac:dyDescent="0.2">
      <c r="A69" s="1" t="s">
        <v>96</v>
      </c>
      <c r="D69" t="s">
        <v>350</v>
      </c>
      <c r="E69" s="5" t="s">
        <v>20</v>
      </c>
      <c r="F69" s="6" t="s">
        <v>227</v>
      </c>
      <c r="G69" s="6" t="s">
        <v>31</v>
      </c>
      <c r="H69" s="6" t="s">
        <v>215</v>
      </c>
      <c r="I69" s="6" t="s">
        <v>31</v>
      </c>
      <c r="J69" s="6" t="s">
        <v>213</v>
      </c>
      <c r="K69" s="6" t="s">
        <v>218</v>
      </c>
      <c r="L69" s="6" t="s">
        <v>21</v>
      </c>
      <c r="M69" s="1" t="s">
        <v>22</v>
      </c>
      <c r="N69" s="1" t="s">
        <v>24</v>
      </c>
      <c r="O69" s="1" t="s">
        <v>343</v>
      </c>
      <c r="P69" s="1" t="s">
        <v>28</v>
      </c>
      <c r="Q69" s="1"/>
      <c r="R69" s="1">
        <v>2</v>
      </c>
      <c r="S69" s="6" t="s">
        <v>238</v>
      </c>
      <c r="T69" s="2">
        <v>62.7</v>
      </c>
      <c r="U69" s="1"/>
      <c r="W69" s="8">
        <f t="shared" si="16"/>
        <v>62.7</v>
      </c>
      <c r="Y69" s="3">
        <f t="shared" si="10"/>
        <v>12</v>
      </c>
      <c r="Z69" s="3">
        <f t="shared" si="17"/>
        <v>1</v>
      </c>
      <c r="AA69" s="3">
        <f t="shared" si="11"/>
        <v>11</v>
      </c>
      <c r="AB69" s="34">
        <f t="shared" si="12"/>
        <v>5</v>
      </c>
      <c r="AC69" s="34">
        <f t="shared" si="13"/>
        <v>11</v>
      </c>
      <c r="AD69" s="35">
        <f t="shared" ref="AD69:AD132" si="18">AB69/(AB69+AC69)</f>
        <v>0.3125</v>
      </c>
      <c r="AE69" s="35">
        <f t="shared" si="14"/>
        <v>0.6875</v>
      </c>
    </row>
    <row r="70" spans="1:31" x14ac:dyDescent="0.2">
      <c r="A70" s="1" t="s">
        <v>97</v>
      </c>
      <c r="D70" t="s">
        <v>350</v>
      </c>
      <c r="E70" s="5" t="s">
        <v>31</v>
      </c>
      <c r="F70" s="6" t="s">
        <v>213</v>
      </c>
      <c r="G70" s="6" t="s">
        <v>20</v>
      </c>
      <c r="H70" s="6" t="s">
        <v>227</v>
      </c>
      <c r="I70" s="6" t="s">
        <v>20</v>
      </c>
      <c r="J70" s="6" t="s">
        <v>228</v>
      </c>
      <c r="K70" s="6" t="s">
        <v>233</v>
      </c>
      <c r="L70" s="6" t="s">
        <v>29</v>
      </c>
      <c r="M70" s="1" t="s">
        <v>22</v>
      </c>
      <c r="N70" s="1" t="s">
        <v>26</v>
      </c>
      <c r="O70" s="1" t="s">
        <v>343</v>
      </c>
      <c r="P70" s="1" t="s">
        <v>28</v>
      </c>
      <c r="Q70" s="1"/>
      <c r="R70" s="6">
        <v>3</v>
      </c>
      <c r="S70" s="1" t="s">
        <v>238</v>
      </c>
      <c r="T70" s="2">
        <v>115.4</v>
      </c>
      <c r="U70" s="1">
        <v>5</v>
      </c>
      <c r="W70" s="8">
        <f t="shared" si="16"/>
        <v>95.4</v>
      </c>
      <c r="Y70" s="3">
        <f t="shared" ref="Y70:Y133" si="19">_xlfn.FLOOR.MATH(W70/$AI$2)</f>
        <v>19</v>
      </c>
      <c r="Z70" s="3">
        <f t="shared" si="17"/>
        <v>1</v>
      </c>
      <c r="AA70" s="3">
        <f t="shared" ref="AA70:AA133" si="20">Y70-Z70</f>
        <v>18</v>
      </c>
      <c r="AB70" s="34">
        <f t="shared" ref="AB70:AB133" si="21">Z70*$AI$4</f>
        <v>5</v>
      </c>
      <c r="AC70" s="34">
        <f t="shared" ref="AC70:AC133" si="22">AA70*$AI$3</f>
        <v>18</v>
      </c>
      <c r="AD70" s="35">
        <f t="shared" si="18"/>
        <v>0.21739130434782608</v>
      </c>
      <c r="AE70" s="35">
        <f t="shared" ref="AE70:AE133" si="23">AC70/(AB70+AC70)</f>
        <v>0.78260869565217395</v>
      </c>
    </row>
    <row r="71" spans="1:31" x14ac:dyDescent="0.2">
      <c r="A71" s="7" t="s">
        <v>231</v>
      </c>
      <c r="D71" t="s">
        <v>350</v>
      </c>
      <c r="E71" s="5" t="s">
        <v>20</v>
      </c>
      <c r="F71" s="6" t="s">
        <v>228</v>
      </c>
      <c r="G71" s="6" t="s">
        <v>31</v>
      </c>
      <c r="H71" s="6" t="s">
        <v>215</v>
      </c>
      <c r="I71" s="6" t="s">
        <v>31</v>
      </c>
      <c r="J71" s="6" t="s">
        <v>213</v>
      </c>
      <c r="K71" s="6" t="s">
        <v>211</v>
      </c>
      <c r="L71" s="6" t="s">
        <v>21</v>
      </c>
      <c r="M71" s="1" t="s">
        <v>245</v>
      </c>
      <c r="N71" s="1" t="s">
        <v>26</v>
      </c>
      <c r="O71" s="1" t="s">
        <v>343</v>
      </c>
      <c r="P71" s="1" t="s">
        <v>28</v>
      </c>
      <c r="Q71" s="1"/>
      <c r="R71" s="1">
        <v>2</v>
      </c>
      <c r="S71" s="6" t="s">
        <v>238</v>
      </c>
      <c r="T71" s="2">
        <v>69.34</v>
      </c>
      <c r="U71" s="1"/>
      <c r="W71" s="8">
        <f t="shared" si="16"/>
        <v>69.34</v>
      </c>
      <c r="Y71" s="3">
        <f t="shared" si="19"/>
        <v>13</v>
      </c>
      <c r="Z71" s="3">
        <f t="shared" si="17"/>
        <v>1</v>
      </c>
      <c r="AA71" s="3">
        <f t="shared" si="20"/>
        <v>12</v>
      </c>
      <c r="AB71" s="34">
        <f t="shared" si="21"/>
        <v>5</v>
      </c>
      <c r="AC71" s="34">
        <f t="shared" si="22"/>
        <v>12</v>
      </c>
      <c r="AD71" s="35">
        <f t="shared" si="18"/>
        <v>0.29411764705882354</v>
      </c>
      <c r="AE71" s="35">
        <f t="shared" si="23"/>
        <v>0.70588235294117652</v>
      </c>
    </row>
    <row r="72" spans="1:31" x14ac:dyDescent="0.2">
      <c r="A72" s="1" t="s">
        <v>98</v>
      </c>
      <c r="D72" t="s">
        <v>350</v>
      </c>
      <c r="E72" s="5" t="s">
        <v>31</v>
      </c>
      <c r="F72" s="6" t="s">
        <v>213</v>
      </c>
      <c r="G72" s="6" t="s">
        <v>20</v>
      </c>
      <c r="H72" s="6" t="s">
        <v>228</v>
      </c>
      <c r="I72" s="6" t="s">
        <v>20</v>
      </c>
      <c r="J72" s="6" t="s">
        <v>213</v>
      </c>
      <c r="K72" s="6" t="s">
        <v>233</v>
      </c>
      <c r="L72" s="6" t="s">
        <v>29</v>
      </c>
      <c r="M72" s="1" t="s">
        <v>22</v>
      </c>
      <c r="N72" s="1" t="s">
        <v>26</v>
      </c>
      <c r="O72" s="1" t="s">
        <v>343</v>
      </c>
      <c r="P72" s="1" t="s">
        <v>23</v>
      </c>
      <c r="Q72" s="1"/>
      <c r="R72" s="1">
        <v>3</v>
      </c>
      <c r="S72" s="6" t="s">
        <v>238</v>
      </c>
      <c r="T72" s="2">
        <v>92.7</v>
      </c>
      <c r="U72" s="1">
        <v>2</v>
      </c>
      <c r="W72" s="8">
        <f t="shared" si="16"/>
        <v>84.7</v>
      </c>
      <c r="Y72" s="3">
        <f t="shared" si="19"/>
        <v>16</v>
      </c>
      <c r="Z72" s="3">
        <f t="shared" si="17"/>
        <v>1</v>
      </c>
      <c r="AA72" s="3">
        <f t="shared" si="20"/>
        <v>15</v>
      </c>
      <c r="AB72" s="34">
        <f t="shared" si="21"/>
        <v>5</v>
      </c>
      <c r="AC72" s="34">
        <f t="shared" si="22"/>
        <v>15</v>
      </c>
      <c r="AD72" s="35">
        <f t="shared" si="18"/>
        <v>0.25</v>
      </c>
      <c r="AE72" s="35">
        <f t="shared" si="23"/>
        <v>0.75</v>
      </c>
    </row>
    <row r="73" spans="1:31" x14ac:dyDescent="0.2">
      <c r="A73" s="1" t="s">
        <v>99</v>
      </c>
      <c r="D73" t="s">
        <v>350</v>
      </c>
      <c r="E73" s="5" t="s">
        <v>20</v>
      </c>
      <c r="F73" s="6" t="s">
        <v>228</v>
      </c>
      <c r="G73" s="6" t="s">
        <v>31</v>
      </c>
      <c r="H73" s="6" t="s">
        <v>215</v>
      </c>
      <c r="I73" s="6" t="s">
        <v>31</v>
      </c>
      <c r="J73" s="6" t="s">
        <v>213</v>
      </c>
      <c r="K73" s="6" t="s">
        <v>211</v>
      </c>
      <c r="L73" s="6" t="s">
        <v>29</v>
      </c>
      <c r="M73" s="1" t="s">
        <v>245</v>
      </c>
      <c r="N73" s="1" t="s">
        <v>26</v>
      </c>
      <c r="O73" s="1" t="s">
        <v>343</v>
      </c>
      <c r="P73" s="1" t="s">
        <v>28</v>
      </c>
      <c r="Q73" s="1"/>
      <c r="R73" s="1">
        <v>2</v>
      </c>
      <c r="S73" s="6" t="s">
        <v>238</v>
      </c>
      <c r="T73" s="2">
        <v>69.34</v>
      </c>
      <c r="U73" s="1"/>
      <c r="W73" s="8">
        <f t="shared" si="16"/>
        <v>69.34</v>
      </c>
      <c r="Y73" s="3">
        <f t="shared" si="19"/>
        <v>13</v>
      </c>
      <c r="Z73" s="3">
        <f t="shared" si="17"/>
        <v>1</v>
      </c>
      <c r="AA73" s="3">
        <f t="shared" si="20"/>
        <v>12</v>
      </c>
      <c r="AB73" s="34">
        <f t="shared" si="21"/>
        <v>5</v>
      </c>
      <c r="AC73" s="34">
        <f t="shared" si="22"/>
        <v>12</v>
      </c>
      <c r="AD73" s="35">
        <f t="shared" si="18"/>
        <v>0.29411764705882354</v>
      </c>
      <c r="AE73" s="35">
        <f t="shared" si="23"/>
        <v>0.70588235294117652</v>
      </c>
    </row>
    <row r="74" spans="1:31" x14ac:dyDescent="0.2">
      <c r="A74" s="1" t="s">
        <v>100</v>
      </c>
      <c r="D74" t="s">
        <v>350</v>
      </c>
      <c r="E74" s="5" t="s">
        <v>20</v>
      </c>
      <c r="F74" s="6" t="s">
        <v>213</v>
      </c>
      <c r="G74" s="6" t="s">
        <v>31</v>
      </c>
      <c r="H74" s="6" t="s">
        <v>215</v>
      </c>
      <c r="I74" s="6" t="s">
        <v>31</v>
      </c>
      <c r="J74" s="6" t="s">
        <v>213</v>
      </c>
      <c r="K74" s="6" t="s">
        <v>218</v>
      </c>
      <c r="L74" s="6" t="s">
        <v>29</v>
      </c>
      <c r="M74" s="1" t="s">
        <v>28</v>
      </c>
      <c r="N74" s="1" t="s">
        <v>26</v>
      </c>
      <c r="O74" s="1" t="s">
        <v>343</v>
      </c>
      <c r="P74" s="1" t="s">
        <v>27</v>
      </c>
      <c r="Q74" s="1"/>
      <c r="R74" s="6">
        <v>2</v>
      </c>
      <c r="S74" s="6" t="s">
        <v>238</v>
      </c>
      <c r="T74" s="2">
        <v>18.399999999999999</v>
      </c>
      <c r="U74" s="1"/>
      <c r="W74" s="8">
        <f t="shared" si="16"/>
        <v>18.399999999999999</v>
      </c>
      <c r="Y74" s="3">
        <f t="shared" si="19"/>
        <v>3</v>
      </c>
      <c r="Z74" s="3">
        <f t="shared" si="17"/>
        <v>0</v>
      </c>
      <c r="AA74" s="3">
        <f t="shared" si="20"/>
        <v>3</v>
      </c>
      <c r="AB74" s="34">
        <f t="shared" si="21"/>
        <v>0</v>
      </c>
      <c r="AC74" s="34">
        <f t="shared" si="22"/>
        <v>3</v>
      </c>
      <c r="AD74" s="35">
        <f t="shared" si="18"/>
        <v>0</v>
      </c>
      <c r="AE74" s="35">
        <f t="shared" si="23"/>
        <v>1</v>
      </c>
    </row>
    <row r="75" spans="1:31" x14ac:dyDescent="0.2">
      <c r="A75" s="1" t="s">
        <v>101</v>
      </c>
      <c r="D75" t="s">
        <v>350</v>
      </c>
      <c r="E75" s="5" t="s">
        <v>31</v>
      </c>
      <c r="F75" s="6" t="s">
        <v>215</v>
      </c>
      <c r="G75" s="6" t="s">
        <v>20</v>
      </c>
      <c r="H75" s="6" t="s">
        <v>228</v>
      </c>
      <c r="I75" s="6" t="s">
        <v>20</v>
      </c>
      <c r="J75" s="6" t="s">
        <v>213</v>
      </c>
      <c r="K75" s="6" t="s">
        <v>229</v>
      </c>
      <c r="L75" s="6" t="s">
        <v>29</v>
      </c>
      <c r="M75" s="1" t="s">
        <v>22</v>
      </c>
      <c r="N75" s="1" t="s">
        <v>26</v>
      </c>
      <c r="O75" s="1" t="s">
        <v>343</v>
      </c>
      <c r="P75" s="1" t="s">
        <v>28</v>
      </c>
      <c r="Q75" s="1"/>
      <c r="R75" s="1">
        <v>2</v>
      </c>
      <c r="S75" s="6" t="s">
        <v>238</v>
      </c>
      <c r="T75" s="2">
        <v>91.1</v>
      </c>
      <c r="U75" s="1">
        <v>1</v>
      </c>
      <c r="W75" s="8">
        <f t="shared" si="16"/>
        <v>87.1</v>
      </c>
      <c r="Y75" s="3">
        <f t="shared" si="19"/>
        <v>17</v>
      </c>
      <c r="Z75" s="3">
        <f t="shared" si="17"/>
        <v>1</v>
      </c>
      <c r="AA75" s="3">
        <f t="shared" si="20"/>
        <v>16</v>
      </c>
      <c r="AB75" s="34">
        <f t="shared" si="21"/>
        <v>5</v>
      </c>
      <c r="AC75" s="34">
        <f t="shared" si="22"/>
        <v>16</v>
      </c>
      <c r="AD75" s="35">
        <f t="shared" si="18"/>
        <v>0.23809523809523808</v>
      </c>
      <c r="AE75" s="35">
        <f t="shared" si="23"/>
        <v>0.76190476190476186</v>
      </c>
    </row>
    <row r="76" spans="1:31" x14ac:dyDescent="0.2">
      <c r="A76" s="1" t="s">
        <v>102</v>
      </c>
      <c r="D76" t="s">
        <v>350</v>
      </c>
      <c r="E76" s="5" t="s">
        <v>20</v>
      </c>
      <c r="F76" s="6" t="s">
        <v>228</v>
      </c>
      <c r="G76" s="6" t="s">
        <v>31</v>
      </c>
      <c r="H76" s="6" t="s">
        <v>213</v>
      </c>
      <c r="I76" s="6" t="s">
        <v>31</v>
      </c>
      <c r="J76" s="6" t="s">
        <v>214</v>
      </c>
      <c r="K76" s="6" t="s">
        <v>211</v>
      </c>
      <c r="L76" s="6" t="s">
        <v>29</v>
      </c>
      <c r="M76" s="1" t="s">
        <v>22</v>
      </c>
      <c r="N76" s="1" t="s">
        <v>26</v>
      </c>
      <c r="O76" s="1" t="s">
        <v>343</v>
      </c>
      <c r="P76" s="1" t="s">
        <v>28</v>
      </c>
      <c r="Q76" s="1"/>
      <c r="R76" s="6">
        <v>2</v>
      </c>
      <c r="S76" s="6" t="s">
        <v>238</v>
      </c>
      <c r="T76" s="2">
        <v>48.35</v>
      </c>
      <c r="U76" s="1"/>
      <c r="W76" s="8">
        <f t="shared" si="16"/>
        <v>48.35</v>
      </c>
      <c r="Y76" s="3">
        <f t="shared" si="19"/>
        <v>9</v>
      </c>
      <c r="Z76" s="3">
        <f t="shared" si="17"/>
        <v>0</v>
      </c>
      <c r="AA76" s="3">
        <f t="shared" si="20"/>
        <v>9</v>
      </c>
      <c r="AB76" s="34">
        <f t="shared" si="21"/>
        <v>0</v>
      </c>
      <c r="AC76" s="34">
        <f t="shared" si="22"/>
        <v>9</v>
      </c>
      <c r="AD76" s="35">
        <f t="shared" si="18"/>
        <v>0</v>
      </c>
      <c r="AE76" s="35">
        <f t="shared" si="23"/>
        <v>1</v>
      </c>
    </row>
    <row r="77" spans="1:31" x14ac:dyDescent="0.2">
      <c r="A77" s="1" t="s">
        <v>103</v>
      </c>
      <c r="D77" t="s">
        <v>350</v>
      </c>
      <c r="E77" s="5" t="s">
        <v>31</v>
      </c>
      <c r="F77" s="6" t="s">
        <v>213</v>
      </c>
      <c r="G77" s="6" t="s">
        <v>20</v>
      </c>
      <c r="H77" s="6" t="s">
        <v>228</v>
      </c>
      <c r="I77" s="6" t="s">
        <v>20</v>
      </c>
      <c r="J77" s="6" t="s">
        <v>213</v>
      </c>
      <c r="K77" s="6" t="s">
        <v>233</v>
      </c>
      <c r="L77" s="6" t="s">
        <v>21</v>
      </c>
      <c r="M77" s="1" t="s">
        <v>22</v>
      </c>
      <c r="N77" s="1" t="s">
        <v>26</v>
      </c>
      <c r="O77" s="1" t="s">
        <v>343</v>
      </c>
      <c r="P77" s="1" t="s">
        <v>23</v>
      </c>
      <c r="Q77" s="1"/>
      <c r="R77" s="1">
        <v>3</v>
      </c>
      <c r="S77" s="6" t="s">
        <v>238</v>
      </c>
      <c r="T77" s="2">
        <v>77.8</v>
      </c>
      <c r="U77" s="1">
        <v>3</v>
      </c>
      <c r="W77" s="8">
        <f t="shared" si="16"/>
        <v>65.8</v>
      </c>
      <c r="Y77" s="3">
        <f t="shared" si="19"/>
        <v>13</v>
      </c>
      <c r="Z77" s="3">
        <f t="shared" si="17"/>
        <v>1</v>
      </c>
      <c r="AA77" s="3">
        <f t="shared" si="20"/>
        <v>12</v>
      </c>
      <c r="AB77" s="34">
        <f t="shared" si="21"/>
        <v>5</v>
      </c>
      <c r="AC77" s="34">
        <f t="shared" si="22"/>
        <v>12</v>
      </c>
      <c r="AD77" s="35">
        <f t="shared" si="18"/>
        <v>0.29411764705882354</v>
      </c>
      <c r="AE77" s="35">
        <f t="shared" si="23"/>
        <v>0.70588235294117652</v>
      </c>
    </row>
    <row r="78" spans="1:31" x14ac:dyDescent="0.2">
      <c r="A78" s="1" t="s">
        <v>104</v>
      </c>
      <c r="D78" t="s">
        <v>350</v>
      </c>
      <c r="E78" s="3" t="s">
        <v>20</v>
      </c>
      <c r="F78" s="1" t="s">
        <v>225</v>
      </c>
      <c r="G78" s="1" t="s">
        <v>31</v>
      </c>
      <c r="H78" s="1" t="s">
        <v>214</v>
      </c>
      <c r="I78" s="1" t="s">
        <v>31</v>
      </c>
      <c r="J78" s="1" t="s">
        <v>223</v>
      </c>
      <c r="K78" s="1" t="s">
        <v>211</v>
      </c>
      <c r="L78" s="1" t="s">
        <v>21</v>
      </c>
      <c r="M78" s="1" t="s">
        <v>22</v>
      </c>
      <c r="N78" s="1" t="s">
        <v>26</v>
      </c>
      <c r="O78" s="1" t="s">
        <v>246</v>
      </c>
      <c r="P78" s="1" t="s">
        <v>28</v>
      </c>
      <c r="Q78" s="1"/>
      <c r="R78" s="6">
        <v>3</v>
      </c>
      <c r="S78" s="6" t="s">
        <v>238</v>
      </c>
      <c r="T78" s="2">
        <v>77.400000000000006</v>
      </c>
      <c r="U78" s="1"/>
      <c r="W78" s="8">
        <f t="shared" si="16"/>
        <v>77.400000000000006</v>
      </c>
      <c r="Y78" s="3">
        <f t="shared" si="19"/>
        <v>15</v>
      </c>
      <c r="Z78" s="3">
        <f t="shared" si="17"/>
        <v>1</v>
      </c>
      <c r="AA78" s="3">
        <f t="shared" si="20"/>
        <v>14</v>
      </c>
      <c r="AB78" s="34">
        <f t="shared" si="21"/>
        <v>5</v>
      </c>
      <c r="AC78" s="34">
        <f t="shared" si="22"/>
        <v>14</v>
      </c>
      <c r="AD78" s="35">
        <f t="shared" si="18"/>
        <v>0.26315789473684209</v>
      </c>
      <c r="AE78" s="35">
        <f t="shared" si="23"/>
        <v>0.73684210526315785</v>
      </c>
    </row>
    <row r="79" spans="1:31" x14ac:dyDescent="0.2">
      <c r="A79" s="1" t="s">
        <v>105</v>
      </c>
      <c r="D79" t="s">
        <v>350</v>
      </c>
      <c r="E79" s="3" t="s">
        <v>20</v>
      </c>
      <c r="F79" s="1" t="s">
        <v>225</v>
      </c>
      <c r="G79" s="1" t="s">
        <v>31</v>
      </c>
      <c r="H79" s="1" t="s">
        <v>214</v>
      </c>
      <c r="I79" s="1" t="s">
        <v>31</v>
      </c>
      <c r="J79" s="1" t="s">
        <v>223</v>
      </c>
      <c r="K79" s="1" t="s">
        <v>211</v>
      </c>
      <c r="L79" s="1" t="s">
        <v>29</v>
      </c>
      <c r="M79" s="1" t="s">
        <v>22</v>
      </c>
      <c r="N79" s="1" t="s">
        <v>26</v>
      </c>
      <c r="O79" s="1" t="s">
        <v>246</v>
      </c>
      <c r="P79" s="1" t="s">
        <v>28</v>
      </c>
      <c r="Q79" s="1"/>
      <c r="R79" s="6">
        <v>3</v>
      </c>
      <c r="S79" s="6" t="s">
        <v>238</v>
      </c>
      <c r="T79" s="2">
        <v>77.400000000000006</v>
      </c>
      <c r="U79" s="1"/>
      <c r="W79" s="8">
        <f t="shared" si="16"/>
        <v>77.400000000000006</v>
      </c>
      <c r="Y79" s="3">
        <f t="shared" si="19"/>
        <v>15</v>
      </c>
      <c r="Z79" s="3">
        <f t="shared" si="17"/>
        <v>1</v>
      </c>
      <c r="AA79" s="3">
        <f t="shared" si="20"/>
        <v>14</v>
      </c>
      <c r="AB79" s="34">
        <f t="shared" si="21"/>
        <v>5</v>
      </c>
      <c r="AC79" s="34">
        <f t="shared" si="22"/>
        <v>14</v>
      </c>
      <c r="AD79" s="35">
        <f t="shared" si="18"/>
        <v>0.26315789473684209</v>
      </c>
      <c r="AE79" s="35">
        <f t="shared" si="23"/>
        <v>0.73684210526315785</v>
      </c>
    </row>
    <row r="80" spans="1:31" x14ac:dyDescent="0.2">
      <c r="A80" s="1" t="s">
        <v>106</v>
      </c>
      <c r="D80" t="s">
        <v>350</v>
      </c>
      <c r="E80" s="5" t="s">
        <v>20</v>
      </c>
      <c r="F80" s="6" t="s">
        <v>226</v>
      </c>
      <c r="G80" s="6" t="s">
        <v>31</v>
      </c>
      <c r="H80" s="6" t="s">
        <v>214</v>
      </c>
      <c r="I80" s="6" t="s">
        <v>31</v>
      </c>
      <c r="J80" s="6" t="s">
        <v>223</v>
      </c>
      <c r="K80" s="6" t="s">
        <v>224</v>
      </c>
      <c r="L80" s="6" t="s">
        <v>21</v>
      </c>
      <c r="M80" s="1" t="s">
        <v>22</v>
      </c>
      <c r="N80" s="1" t="s">
        <v>24</v>
      </c>
      <c r="O80" s="1" t="s">
        <v>343</v>
      </c>
      <c r="P80" s="1" t="s">
        <v>28</v>
      </c>
      <c r="Q80" s="1"/>
      <c r="R80" s="6">
        <v>2</v>
      </c>
      <c r="S80" s="6" t="s">
        <v>224</v>
      </c>
      <c r="T80" s="2">
        <v>72.67</v>
      </c>
      <c r="U80" s="1"/>
      <c r="W80" s="8">
        <f t="shared" si="16"/>
        <v>72.67</v>
      </c>
      <c r="Y80" s="3">
        <f t="shared" si="19"/>
        <v>14</v>
      </c>
      <c r="Z80" s="3">
        <f t="shared" si="17"/>
        <v>1</v>
      </c>
      <c r="AA80" s="3">
        <f t="shared" si="20"/>
        <v>13</v>
      </c>
      <c r="AB80" s="34">
        <f t="shared" si="21"/>
        <v>5</v>
      </c>
      <c r="AC80" s="34">
        <f t="shared" si="22"/>
        <v>13</v>
      </c>
      <c r="AD80" s="35">
        <f t="shared" si="18"/>
        <v>0.27777777777777779</v>
      </c>
      <c r="AE80" s="35">
        <f t="shared" si="23"/>
        <v>0.72222222222222221</v>
      </c>
    </row>
    <row r="81" spans="1:31" x14ac:dyDescent="0.2">
      <c r="A81" s="1" t="s">
        <v>107</v>
      </c>
      <c r="D81" t="s">
        <v>350</v>
      </c>
      <c r="E81" s="5" t="s">
        <v>20</v>
      </c>
      <c r="F81" s="6" t="s">
        <v>226</v>
      </c>
      <c r="G81" s="6" t="s">
        <v>31</v>
      </c>
      <c r="H81" s="6" t="s">
        <v>214</v>
      </c>
      <c r="I81" s="6" t="s">
        <v>31</v>
      </c>
      <c r="J81" s="6" t="s">
        <v>223</v>
      </c>
      <c r="K81" s="6" t="s">
        <v>224</v>
      </c>
      <c r="L81" s="6" t="s">
        <v>29</v>
      </c>
      <c r="M81" s="1" t="s">
        <v>22</v>
      </c>
      <c r="N81" s="1" t="s">
        <v>24</v>
      </c>
      <c r="O81" s="1" t="s">
        <v>343</v>
      </c>
      <c r="P81" s="1" t="s">
        <v>28</v>
      </c>
      <c r="Q81" s="1"/>
      <c r="R81" s="6">
        <v>2</v>
      </c>
      <c r="S81" s="6" t="s">
        <v>224</v>
      </c>
      <c r="T81" s="2">
        <v>72.67</v>
      </c>
      <c r="U81" s="1"/>
      <c r="W81" s="8">
        <f t="shared" si="16"/>
        <v>72.67</v>
      </c>
      <c r="Y81" s="3">
        <f t="shared" si="19"/>
        <v>14</v>
      </c>
      <c r="Z81" s="3">
        <f t="shared" si="17"/>
        <v>1</v>
      </c>
      <c r="AA81" s="3">
        <f t="shared" si="20"/>
        <v>13</v>
      </c>
      <c r="AB81" s="34">
        <f t="shared" si="21"/>
        <v>5</v>
      </c>
      <c r="AC81" s="34">
        <f t="shared" si="22"/>
        <v>13</v>
      </c>
      <c r="AD81" s="35">
        <f t="shared" si="18"/>
        <v>0.27777777777777779</v>
      </c>
      <c r="AE81" s="35">
        <f t="shared" si="23"/>
        <v>0.72222222222222221</v>
      </c>
    </row>
    <row r="82" spans="1:31" x14ac:dyDescent="0.2">
      <c r="A82" s="1" t="s">
        <v>108</v>
      </c>
      <c r="D82" t="s">
        <v>350</v>
      </c>
      <c r="E82" s="5" t="s">
        <v>20</v>
      </c>
      <c r="F82" s="6" t="s">
        <v>227</v>
      </c>
      <c r="G82" s="6" t="s">
        <v>31</v>
      </c>
      <c r="H82" s="6" t="s">
        <v>214</v>
      </c>
      <c r="I82" s="6" t="s">
        <v>20</v>
      </c>
      <c r="J82" s="6" t="s">
        <v>227</v>
      </c>
      <c r="K82" s="6" t="s">
        <v>218</v>
      </c>
      <c r="L82" s="6" t="s">
        <v>29</v>
      </c>
      <c r="M82" s="1" t="s">
        <v>245</v>
      </c>
      <c r="N82" s="1" t="s">
        <v>26</v>
      </c>
      <c r="O82" s="1" t="s">
        <v>343</v>
      </c>
      <c r="P82" s="1" t="s">
        <v>28</v>
      </c>
      <c r="Q82" s="1"/>
      <c r="R82" s="1">
        <v>2</v>
      </c>
      <c r="S82" s="6" t="s">
        <v>238</v>
      </c>
      <c r="T82" s="2">
        <v>109.5</v>
      </c>
      <c r="U82" s="1"/>
      <c r="W82" s="8">
        <f t="shared" si="16"/>
        <v>109.5</v>
      </c>
      <c r="Y82" s="3">
        <f t="shared" si="19"/>
        <v>21</v>
      </c>
      <c r="Z82" s="3">
        <f t="shared" si="17"/>
        <v>1</v>
      </c>
      <c r="AA82" s="3">
        <f t="shared" si="20"/>
        <v>20</v>
      </c>
      <c r="AB82" s="34">
        <f t="shared" si="21"/>
        <v>5</v>
      </c>
      <c r="AC82" s="34">
        <f t="shared" si="22"/>
        <v>20</v>
      </c>
      <c r="AD82" s="35">
        <f t="shared" si="18"/>
        <v>0.2</v>
      </c>
      <c r="AE82" s="35">
        <f t="shared" si="23"/>
        <v>0.8</v>
      </c>
    </row>
    <row r="83" spans="1:31" x14ac:dyDescent="0.2">
      <c r="A83" s="1" t="s">
        <v>109</v>
      </c>
      <c r="D83" t="s">
        <v>350</v>
      </c>
      <c r="E83" s="5" t="s">
        <v>31</v>
      </c>
      <c r="F83" s="6" t="s">
        <v>223</v>
      </c>
      <c r="G83" s="6" t="s">
        <v>20</v>
      </c>
      <c r="H83" s="6" t="s">
        <v>227</v>
      </c>
      <c r="I83" s="6" t="s">
        <v>31</v>
      </c>
      <c r="J83" s="6" t="s">
        <v>235</v>
      </c>
      <c r="K83" s="6" t="s">
        <v>233</v>
      </c>
      <c r="L83" s="6" t="s">
        <v>29</v>
      </c>
      <c r="M83" s="1" t="s">
        <v>247</v>
      </c>
      <c r="N83" s="1" t="s">
        <v>26</v>
      </c>
      <c r="O83" s="1" t="s">
        <v>343</v>
      </c>
      <c r="P83" s="1" t="s">
        <v>23</v>
      </c>
      <c r="Q83" s="1"/>
      <c r="R83" s="1">
        <v>3</v>
      </c>
      <c r="S83" s="6" t="s">
        <v>238</v>
      </c>
      <c r="T83" s="2">
        <v>67.2</v>
      </c>
      <c r="U83" s="1"/>
      <c r="W83" s="8">
        <f t="shared" si="16"/>
        <v>67.2</v>
      </c>
      <c r="Y83" s="3">
        <f t="shared" si="19"/>
        <v>13</v>
      </c>
      <c r="Z83" s="3">
        <f t="shared" si="17"/>
        <v>1</v>
      </c>
      <c r="AA83" s="3">
        <f t="shared" si="20"/>
        <v>12</v>
      </c>
      <c r="AB83" s="34">
        <f t="shared" si="21"/>
        <v>5</v>
      </c>
      <c r="AC83" s="34">
        <f t="shared" si="22"/>
        <v>12</v>
      </c>
      <c r="AD83" s="35">
        <f t="shared" si="18"/>
        <v>0.29411764705882354</v>
      </c>
      <c r="AE83" s="35">
        <f t="shared" si="23"/>
        <v>0.70588235294117652</v>
      </c>
    </row>
    <row r="84" spans="1:31" x14ac:dyDescent="0.2">
      <c r="A84" s="1" t="s">
        <v>110</v>
      </c>
      <c r="D84" t="s">
        <v>350</v>
      </c>
      <c r="E84" s="5" t="s">
        <v>31</v>
      </c>
      <c r="F84" s="6" t="s">
        <v>235</v>
      </c>
      <c r="G84" s="6" t="s">
        <v>31</v>
      </c>
      <c r="H84" s="6" t="s">
        <v>223</v>
      </c>
      <c r="I84" s="6" t="s">
        <v>20</v>
      </c>
      <c r="J84" s="6" t="s">
        <v>228</v>
      </c>
      <c r="K84" s="6" t="s">
        <v>233</v>
      </c>
      <c r="L84" s="6" t="s">
        <v>21</v>
      </c>
      <c r="M84" s="1" t="s">
        <v>22</v>
      </c>
      <c r="N84" s="1" t="s">
        <v>24</v>
      </c>
      <c r="O84" s="1" t="s">
        <v>343</v>
      </c>
      <c r="P84" s="1" t="s">
        <v>28</v>
      </c>
      <c r="Q84" s="1"/>
      <c r="R84" s="1">
        <v>3</v>
      </c>
      <c r="S84" s="6" t="s">
        <v>238</v>
      </c>
      <c r="T84" s="2">
        <v>123.1</v>
      </c>
      <c r="U84" s="1"/>
      <c r="W84" s="8">
        <f t="shared" si="16"/>
        <v>123.1</v>
      </c>
      <c r="Y84" s="3">
        <f t="shared" si="19"/>
        <v>24</v>
      </c>
      <c r="Z84" s="3">
        <f t="shared" si="17"/>
        <v>1</v>
      </c>
      <c r="AA84" s="3">
        <f t="shared" si="20"/>
        <v>23</v>
      </c>
      <c r="AB84" s="34">
        <f t="shared" si="21"/>
        <v>5</v>
      </c>
      <c r="AC84" s="34">
        <f t="shared" si="22"/>
        <v>23</v>
      </c>
      <c r="AD84" s="35">
        <f t="shared" si="18"/>
        <v>0.17857142857142858</v>
      </c>
      <c r="AE84" s="35">
        <f t="shared" si="23"/>
        <v>0.8214285714285714</v>
      </c>
    </row>
    <row r="85" spans="1:31" x14ac:dyDescent="0.2">
      <c r="A85" s="1" t="s">
        <v>111</v>
      </c>
      <c r="D85" t="s">
        <v>350</v>
      </c>
      <c r="E85" s="5" t="s">
        <v>31</v>
      </c>
      <c r="F85" s="6" t="s">
        <v>216</v>
      </c>
      <c r="G85" s="6" t="s">
        <v>20</v>
      </c>
      <c r="H85" s="6" t="s">
        <v>219</v>
      </c>
      <c r="I85" s="6" t="s">
        <v>20</v>
      </c>
      <c r="J85" s="6" t="s">
        <v>221</v>
      </c>
      <c r="K85" s="6" t="s">
        <v>233</v>
      </c>
      <c r="L85" s="6" t="s">
        <v>29</v>
      </c>
      <c r="M85" s="1" t="s">
        <v>247</v>
      </c>
      <c r="N85" s="1" t="s">
        <v>26</v>
      </c>
      <c r="O85" s="1" t="s">
        <v>343</v>
      </c>
      <c r="P85" s="1" t="s">
        <v>23</v>
      </c>
      <c r="Q85" s="1"/>
      <c r="R85" s="1">
        <v>3</v>
      </c>
      <c r="S85" s="6" t="s">
        <v>238</v>
      </c>
      <c r="T85" s="2">
        <v>82.3</v>
      </c>
      <c r="U85" s="1"/>
      <c r="W85" s="8">
        <f t="shared" si="16"/>
        <v>82.3</v>
      </c>
      <c r="Y85" s="3">
        <f t="shared" si="19"/>
        <v>16</v>
      </c>
      <c r="Z85" s="3">
        <f t="shared" si="17"/>
        <v>1</v>
      </c>
      <c r="AA85" s="3">
        <f t="shared" si="20"/>
        <v>15</v>
      </c>
      <c r="AB85" s="34">
        <f t="shared" si="21"/>
        <v>5</v>
      </c>
      <c r="AC85" s="34">
        <f t="shared" si="22"/>
        <v>15</v>
      </c>
      <c r="AD85" s="35">
        <f t="shared" si="18"/>
        <v>0.25</v>
      </c>
      <c r="AE85" s="35">
        <f t="shared" si="23"/>
        <v>0.75</v>
      </c>
    </row>
    <row r="86" spans="1:31" x14ac:dyDescent="0.2">
      <c r="A86" s="1" t="s">
        <v>112</v>
      </c>
      <c r="D86" t="s">
        <v>350</v>
      </c>
      <c r="E86" s="5" t="s">
        <v>31</v>
      </c>
      <c r="F86" s="6" t="s">
        <v>223</v>
      </c>
      <c r="G86" s="6" t="s">
        <v>20</v>
      </c>
      <c r="H86" s="6" t="s">
        <v>225</v>
      </c>
      <c r="I86" s="6" t="s">
        <v>20</v>
      </c>
      <c r="J86" s="6" t="s">
        <v>227</v>
      </c>
      <c r="K86" s="6" t="s">
        <v>233</v>
      </c>
      <c r="L86" s="6" t="s">
        <v>21</v>
      </c>
      <c r="M86" s="1" t="s">
        <v>247</v>
      </c>
      <c r="N86" s="1" t="s">
        <v>26</v>
      </c>
      <c r="O86" s="1" t="s">
        <v>343</v>
      </c>
      <c r="P86" s="1" t="s">
        <v>23</v>
      </c>
      <c r="Q86" s="1"/>
      <c r="R86" s="1">
        <v>3</v>
      </c>
      <c r="S86" s="6" t="s">
        <v>238</v>
      </c>
      <c r="T86" s="2">
        <v>95.5</v>
      </c>
      <c r="U86" s="1"/>
      <c r="W86" s="8">
        <f t="shared" si="16"/>
        <v>95.5</v>
      </c>
      <c r="Y86" s="3">
        <f t="shared" si="19"/>
        <v>19</v>
      </c>
      <c r="Z86" s="3">
        <f t="shared" si="17"/>
        <v>1</v>
      </c>
      <c r="AA86" s="3">
        <f t="shared" si="20"/>
        <v>18</v>
      </c>
      <c r="AB86" s="34">
        <f t="shared" si="21"/>
        <v>5</v>
      </c>
      <c r="AC86" s="34">
        <f t="shared" si="22"/>
        <v>18</v>
      </c>
      <c r="AD86" s="35">
        <f t="shared" si="18"/>
        <v>0.21739130434782608</v>
      </c>
      <c r="AE86" s="35">
        <f t="shared" si="23"/>
        <v>0.78260869565217395</v>
      </c>
    </row>
    <row r="87" spans="1:31" x14ac:dyDescent="0.2">
      <c r="A87" s="1" t="s">
        <v>113</v>
      </c>
      <c r="D87" t="s">
        <v>350</v>
      </c>
      <c r="E87" s="3" t="s">
        <v>20</v>
      </c>
      <c r="F87" s="1" t="s">
        <v>222</v>
      </c>
      <c r="G87" s="1" t="s">
        <v>31</v>
      </c>
      <c r="H87" s="1" t="s">
        <v>214</v>
      </c>
      <c r="I87" s="1" t="s">
        <v>31</v>
      </c>
      <c r="J87" s="1" t="s">
        <v>223</v>
      </c>
      <c r="K87" s="1" t="s">
        <v>218</v>
      </c>
      <c r="L87" s="1" t="s">
        <v>29</v>
      </c>
      <c r="M87" s="1" t="s">
        <v>22</v>
      </c>
      <c r="N87" s="1" t="s">
        <v>24</v>
      </c>
      <c r="O87" s="1" t="s">
        <v>343</v>
      </c>
      <c r="P87" s="1" t="s">
        <v>28</v>
      </c>
      <c r="Q87" s="1"/>
      <c r="R87" s="6">
        <v>2</v>
      </c>
      <c r="S87" s="6" t="s">
        <v>238</v>
      </c>
      <c r="T87" s="2">
        <v>79.099999999999994</v>
      </c>
      <c r="U87" s="1"/>
      <c r="W87" s="8">
        <f t="shared" si="16"/>
        <v>79.099999999999994</v>
      </c>
      <c r="Y87" s="3">
        <f t="shared" si="19"/>
        <v>15</v>
      </c>
      <c r="Z87" s="3">
        <f t="shared" si="17"/>
        <v>1</v>
      </c>
      <c r="AA87" s="3">
        <f t="shared" si="20"/>
        <v>14</v>
      </c>
      <c r="AB87" s="34">
        <f t="shared" si="21"/>
        <v>5</v>
      </c>
      <c r="AC87" s="34">
        <f t="shared" si="22"/>
        <v>14</v>
      </c>
      <c r="AD87" s="35">
        <f t="shared" si="18"/>
        <v>0.26315789473684209</v>
      </c>
      <c r="AE87" s="35">
        <f t="shared" si="23"/>
        <v>0.73684210526315785</v>
      </c>
    </row>
    <row r="88" spans="1:31" x14ac:dyDescent="0.2">
      <c r="A88" s="1" t="s">
        <v>32</v>
      </c>
      <c r="D88" t="s">
        <v>350</v>
      </c>
      <c r="E88" s="5" t="s">
        <v>31</v>
      </c>
      <c r="F88" s="6" t="s">
        <v>216</v>
      </c>
      <c r="G88" s="6" t="s">
        <v>20</v>
      </c>
      <c r="H88" s="6" t="s">
        <v>221</v>
      </c>
      <c r="I88" s="6" t="s">
        <v>20</v>
      </c>
      <c r="J88" s="6" t="s">
        <v>222</v>
      </c>
      <c r="K88" s="6" t="s">
        <v>233</v>
      </c>
      <c r="L88" s="6" t="s">
        <v>29</v>
      </c>
      <c r="M88" s="1" t="s">
        <v>248</v>
      </c>
      <c r="N88" s="1" t="s">
        <v>26</v>
      </c>
      <c r="O88" s="1" t="s">
        <v>343</v>
      </c>
      <c r="P88" s="1" t="s">
        <v>23</v>
      </c>
      <c r="Q88" s="1"/>
      <c r="R88" s="1">
        <v>3</v>
      </c>
      <c r="S88" s="6" t="s">
        <v>238</v>
      </c>
      <c r="T88" s="2">
        <v>55.5</v>
      </c>
      <c r="U88" s="1"/>
      <c r="W88" s="8">
        <f t="shared" si="16"/>
        <v>55.5</v>
      </c>
      <c r="Y88" s="3">
        <f t="shared" si="19"/>
        <v>11</v>
      </c>
      <c r="Z88" s="3">
        <f t="shared" si="17"/>
        <v>1</v>
      </c>
      <c r="AA88" s="3">
        <f t="shared" si="20"/>
        <v>10</v>
      </c>
      <c r="AB88" s="34">
        <f t="shared" si="21"/>
        <v>5</v>
      </c>
      <c r="AC88" s="34">
        <f t="shared" si="22"/>
        <v>10</v>
      </c>
      <c r="AD88" s="35">
        <f t="shared" si="18"/>
        <v>0.33333333333333331</v>
      </c>
      <c r="AE88" s="35">
        <f t="shared" si="23"/>
        <v>0.66666666666666663</v>
      </c>
    </row>
    <row r="89" spans="1:31" x14ac:dyDescent="0.2">
      <c r="A89" s="1" t="s">
        <v>114</v>
      </c>
      <c r="D89" t="s">
        <v>350</v>
      </c>
      <c r="E89" s="3" t="s">
        <v>20</v>
      </c>
      <c r="F89" s="1" t="s">
        <v>222</v>
      </c>
      <c r="G89" s="1" t="s">
        <v>31</v>
      </c>
      <c r="H89" s="1" t="s">
        <v>214</v>
      </c>
      <c r="I89" s="1" t="s">
        <v>31</v>
      </c>
      <c r="J89" s="1" t="s">
        <v>223</v>
      </c>
      <c r="K89" s="1" t="s">
        <v>218</v>
      </c>
      <c r="L89" s="1" t="s">
        <v>21</v>
      </c>
      <c r="M89" s="1" t="s">
        <v>22</v>
      </c>
      <c r="N89" s="1" t="s">
        <v>24</v>
      </c>
      <c r="O89" s="1" t="s">
        <v>343</v>
      </c>
      <c r="P89" s="1" t="s">
        <v>28</v>
      </c>
      <c r="Q89" s="1"/>
      <c r="R89" s="6">
        <v>2</v>
      </c>
      <c r="S89" s="6" t="s">
        <v>238</v>
      </c>
      <c r="T89" s="2">
        <v>79.099999999999994</v>
      </c>
      <c r="U89" s="1"/>
      <c r="W89" s="8">
        <f t="shared" si="16"/>
        <v>79.099999999999994</v>
      </c>
      <c r="Y89" s="3">
        <f t="shared" si="19"/>
        <v>15</v>
      </c>
      <c r="Z89" s="3">
        <f t="shared" si="17"/>
        <v>1</v>
      </c>
      <c r="AA89" s="3">
        <f t="shared" si="20"/>
        <v>14</v>
      </c>
      <c r="AB89" s="34">
        <f t="shared" si="21"/>
        <v>5</v>
      </c>
      <c r="AC89" s="34">
        <f t="shared" si="22"/>
        <v>14</v>
      </c>
      <c r="AD89" s="35">
        <f t="shared" si="18"/>
        <v>0.26315789473684209</v>
      </c>
      <c r="AE89" s="35">
        <f t="shared" si="23"/>
        <v>0.73684210526315785</v>
      </c>
    </row>
    <row r="90" spans="1:31" x14ac:dyDescent="0.2">
      <c r="A90" s="1" t="s">
        <v>115</v>
      </c>
      <c r="D90" t="s">
        <v>350</v>
      </c>
      <c r="E90" s="5" t="s">
        <v>31</v>
      </c>
      <c r="F90" s="6" t="s">
        <v>223</v>
      </c>
      <c r="G90" s="6" t="s">
        <v>20</v>
      </c>
      <c r="H90" s="6" t="s">
        <v>222</v>
      </c>
      <c r="I90" s="6" t="s">
        <v>20</v>
      </c>
      <c r="J90" s="6" t="s">
        <v>225</v>
      </c>
      <c r="K90" s="6" t="s">
        <v>233</v>
      </c>
      <c r="L90" s="6" t="s">
        <v>29</v>
      </c>
      <c r="M90" s="1" t="s">
        <v>247</v>
      </c>
      <c r="N90" s="1" t="s">
        <v>26</v>
      </c>
      <c r="O90" s="1" t="s">
        <v>343</v>
      </c>
      <c r="P90" s="1" t="s">
        <v>28</v>
      </c>
      <c r="Q90" s="1"/>
      <c r="R90" s="1">
        <v>3</v>
      </c>
      <c r="S90" s="6" t="s">
        <v>238</v>
      </c>
      <c r="T90" s="2">
        <v>53.59</v>
      </c>
      <c r="U90" s="1"/>
      <c r="W90" s="8">
        <f t="shared" si="16"/>
        <v>53.59</v>
      </c>
      <c r="Y90" s="3">
        <f t="shared" si="19"/>
        <v>10</v>
      </c>
      <c r="Z90" s="3">
        <f t="shared" si="17"/>
        <v>0</v>
      </c>
      <c r="AA90" s="3">
        <f t="shared" si="20"/>
        <v>10</v>
      </c>
      <c r="AB90" s="34">
        <f t="shared" si="21"/>
        <v>0</v>
      </c>
      <c r="AC90" s="34">
        <f t="shared" si="22"/>
        <v>10</v>
      </c>
      <c r="AD90" s="35">
        <f t="shared" si="18"/>
        <v>0</v>
      </c>
      <c r="AE90" s="35">
        <f t="shared" si="23"/>
        <v>1</v>
      </c>
    </row>
    <row r="91" spans="1:31" x14ac:dyDescent="0.2">
      <c r="A91" s="3" t="s">
        <v>134</v>
      </c>
      <c r="B91">
        <v>3.44635476418008</v>
      </c>
      <c r="C91">
        <v>-76.539425124057004</v>
      </c>
      <c r="D91" t="s">
        <v>351</v>
      </c>
      <c r="E91" s="3" t="s">
        <v>251</v>
      </c>
      <c r="F91" s="1" t="s">
        <v>260</v>
      </c>
      <c r="G91" s="1" t="s">
        <v>251</v>
      </c>
      <c r="H91" s="1" t="s">
        <v>261</v>
      </c>
      <c r="I91" s="1" t="s">
        <v>251</v>
      </c>
      <c r="J91" s="1" t="s">
        <v>262</v>
      </c>
      <c r="K91" s="1" t="s">
        <v>211</v>
      </c>
      <c r="L91" s="1" t="s">
        <v>29</v>
      </c>
      <c r="M91" s="1" t="s">
        <v>247</v>
      </c>
      <c r="N91" s="1"/>
      <c r="O91" s="6" t="s">
        <v>246</v>
      </c>
      <c r="P91" s="1"/>
      <c r="Q91" s="1"/>
      <c r="R91" s="1">
        <v>2</v>
      </c>
      <c r="S91" s="1" t="s">
        <v>238</v>
      </c>
      <c r="T91" s="2">
        <v>100.92</v>
      </c>
      <c r="U91" s="1">
        <v>2</v>
      </c>
      <c r="W91" s="9">
        <f t="shared" ref="W91:W154" si="24">T91-4*U91</f>
        <v>92.92</v>
      </c>
      <c r="X91" t="s">
        <v>295</v>
      </c>
      <c r="Y91" s="3">
        <f t="shared" si="19"/>
        <v>18</v>
      </c>
      <c r="Z91" s="3">
        <f t="shared" si="17"/>
        <v>1</v>
      </c>
      <c r="AA91" s="3">
        <f t="shared" si="20"/>
        <v>17</v>
      </c>
      <c r="AB91" s="34">
        <f t="shared" si="21"/>
        <v>5</v>
      </c>
      <c r="AC91" s="34">
        <f t="shared" si="22"/>
        <v>17</v>
      </c>
      <c r="AD91" s="35">
        <f t="shared" si="18"/>
        <v>0.22727272727272727</v>
      </c>
      <c r="AE91" s="35">
        <f t="shared" si="23"/>
        <v>0.77272727272727271</v>
      </c>
    </row>
    <row r="92" spans="1:31" x14ac:dyDescent="0.2">
      <c r="A92" s="3" t="s">
        <v>135</v>
      </c>
      <c r="B92">
        <v>3.44602186939803</v>
      </c>
      <c r="C92">
        <v>-76.538921372195205</v>
      </c>
      <c r="D92" t="s">
        <v>351</v>
      </c>
      <c r="E92" s="3" t="s">
        <v>20</v>
      </c>
      <c r="F92" s="1" t="s">
        <v>254</v>
      </c>
      <c r="G92" s="1" t="s">
        <v>251</v>
      </c>
      <c r="H92" s="1" t="s">
        <v>260</v>
      </c>
      <c r="I92" s="1" t="s">
        <v>251</v>
      </c>
      <c r="J92" s="1" t="s">
        <v>260</v>
      </c>
      <c r="K92" s="1" t="s">
        <v>233</v>
      </c>
      <c r="L92" s="6" t="s">
        <v>21</v>
      </c>
      <c r="M92" s="1" t="s">
        <v>245</v>
      </c>
      <c r="N92" s="1"/>
      <c r="O92" s="6" t="s">
        <v>343</v>
      </c>
      <c r="P92" s="1" t="s">
        <v>28</v>
      </c>
      <c r="Q92" s="1"/>
      <c r="R92" s="1">
        <v>2</v>
      </c>
      <c r="S92" s="1" t="s">
        <v>238</v>
      </c>
      <c r="T92" s="2">
        <v>62</v>
      </c>
      <c r="U92" s="1">
        <v>3</v>
      </c>
      <c r="W92" s="9">
        <f t="shared" si="24"/>
        <v>50</v>
      </c>
      <c r="X92" t="s">
        <v>266</v>
      </c>
      <c r="Y92" s="3">
        <f t="shared" si="19"/>
        <v>10</v>
      </c>
      <c r="Z92" s="3">
        <f t="shared" si="17"/>
        <v>0</v>
      </c>
      <c r="AA92" s="3">
        <f t="shared" si="20"/>
        <v>10</v>
      </c>
      <c r="AB92" s="34">
        <f t="shared" si="21"/>
        <v>0</v>
      </c>
      <c r="AC92" s="34">
        <f t="shared" si="22"/>
        <v>10</v>
      </c>
      <c r="AD92" s="35">
        <f t="shared" si="18"/>
        <v>0</v>
      </c>
      <c r="AE92" s="35">
        <f t="shared" si="23"/>
        <v>1</v>
      </c>
    </row>
    <row r="93" spans="1:31" x14ac:dyDescent="0.2">
      <c r="A93" s="3" t="s">
        <v>136</v>
      </c>
      <c r="B93">
        <v>3.44566908866293</v>
      </c>
      <c r="C93">
        <v>-76.539425110554603</v>
      </c>
      <c r="D93" t="s">
        <v>351</v>
      </c>
      <c r="E93" s="3" t="s">
        <v>251</v>
      </c>
      <c r="F93" s="1" t="s">
        <v>262</v>
      </c>
      <c r="G93" s="1" t="s">
        <v>251</v>
      </c>
      <c r="H93" s="1" t="s">
        <v>260</v>
      </c>
      <c r="I93" s="1" t="s">
        <v>251</v>
      </c>
      <c r="J93" s="1" t="s">
        <v>346</v>
      </c>
      <c r="K93" s="1" t="s">
        <v>218</v>
      </c>
      <c r="L93" s="1" t="s">
        <v>29</v>
      </c>
      <c r="M93" s="1"/>
      <c r="N93" s="6" t="s">
        <v>24</v>
      </c>
      <c r="O93" s="6" t="s">
        <v>343</v>
      </c>
      <c r="P93" s="1" t="s">
        <v>28</v>
      </c>
      <c r="Q93" s="1"/>
      <c r="R93" s="1">
        <v>2</v>
      </c>
      <c r="S93" s="1" t="s">
        <v>238</v>
      </c>
      <c r="T93" s="2">
        <v>97.52</v>
      </c>
      <c r="U93" s="1">
        <v>1</v>
      </c>
      <c r="W93" s="9">
        <f t="shared" si="24"/>
        <v>93.52</v>
      </c>
      <c r="X93" t="s">
        <v>296</v>
      </c>
      <c r="Y93" s="3">
        <f t="shared" si="19"/>
        <v>18</v>
      </c>
      <c r="Z93" s="3">
        <f t="shared" si="17"/>
        <v>1</v>
      </c>
      <c r="AA93" s="3">
        <f t="shared" si="20"/>
        <v>17</v>
      </c>
      <c r="AB93" s="34">
        <f t="shared" si="21"/>
        <v>5</v>
      </c>
      <c r="AC93" s="34">
        <f t="shared" si="22"/>
        <v>17</v>
      </c>
      <c r="AD93" s="35">
        <f t="shared" si="18"/>
        <v>0.22727272727272727</v>
      </c>
      <c r="AE93" s="35">
        <f t="shared" si="23"/>
        <v>0.77272727272727271</v>
      </c>
    </row>
    <row r="94" spans="1:31" x14ac:dyDescent="0.2">
      <c r="A94" s="3" t="s">
        <v>137</v>
      </c>
      <c r="B94">
        <v>3.4460218493878401</v>
      </c>
      <c r="C94">
        <v>-76.539928862806903</v>
      </c>
      <c r="D94" t="s">
        <v>351</v>
      </c>
      <c r="E94" s="3" t="s">
        <v>20</v>
      </c>
      <c r="F94" s="1" t="s">
        <v>253</v>
      </c>
      <c r="G94" s="1" t="s">
        <v>251</v>
      </c>
      <c r="H94" s="1" t="s">
        <v>260</v>
      </c>
      <c r="I94" s="1" t="s">
        <v>251</v>
      </c>
      <c r="J94" s="1" t="s">
        <v>262</v>
      </c>
      <c r="K94" s="1" t="s">
        <v>229</v>
      </c>
      <c r="L94" s="1" t="s">
        <v>21</v>
      </c>
      <c r="M94" s="1" t="s">
        <v>22</v>
      </c>
      <c r="N94" s="1"/>
      <c r="O94" s="6" t="s">
        <v>343</v>
      </c>
      <c r="P94" s="1" t="s">
        <v>28</v>
      </c>
      <c r="Q94" s="1"/>
      <c r="R94" s="1">
        <v>2</v>
      </c>
      <c r="S94" s="1" t="s">
        <v>238</v>
      </c>
      <c r="T94" s="2">
        <v>53.57</v>
      </c>
      <c r="U94" s="1">
        <v>2</v>
      </c>
      <c r="W94" s="9">
        <f t="shared" si="24"/>
        <v>45.57</v>
      </c>
      <c r="X94" t="s">
        <v>267</v>
      </c>
      <c r="Y94" s="3">
        <f t="shared" si="19"/>
        <v>9</v>
      </c>
      <c r="Z94" s="3">
        <f t="shared" si="17"/>
        <v>0</v>
      </c>
      <c r="AA94" s="3">
        <f t="shared" si="20"/>
        <v>9</v>
      </c>
      <c r="AB94" s="34">
        <f t="shared" si="21"/>
        <v>0</v>
      </c>
      <c r="AC94" s="34">
        <f t="shared" si="22"/>
        <v>9</v>
      </c>
      <c r="AD94" s="35">
        <f t="shared" si="18"/>
        <v>0</v>
      </c>
      <c r="AE94" s="35">
        <f t="shared" si="23"/>
        <v>1</v>
      </c>
    </row>
    <row r="95" spans="1:31" x14ac:dyDescent="0.2">
      <c r="A95" s="3" t="s">
        <v>138</v>
      </c>
      <c r="B95">
        <v>3.447048495816369</v>
      </c>
      <c r="C95">
        <v>-76.537278800324103</v>
      </c>
      <c r="D95" t="s">
        <v>351</v>
      </c>
      <c r="E95" s="3" t="s">
        <v>251</v>
      </c>
      <c r="F95" s="1" t="s">
        <v>261</v>
      </c>
      <c r="G95" s="1" t="s">
        <v>20</v>
      </c>
      <c r="H95" s="1" t="s">
        <v>257</v>
      </c>
      <c r="I95" s="1" t="s">
        <v>251</v>
      </c>
      <c r="J95" s="1" t="s">
        <v>260</v>
      </c>
      <c r="K95" s="1" t="s">
        <v>218</v>
      </c>
      <c r="L95" s="6" t="s">
        <v>21</v>
      </c>
      <c r="M95" s="1" t="s">
        <v>247</v>
      </c>
      <c r="N95" s="1"/>
      <c r="O95" s="6" t="s">
        <v>343</v>
      </c>
      <c r="P95" s="1" t="s">
        <v>27</v>
      </c>
      <c r="Q95" s="1"/>
      <c r="R95" s="1">
        <v>2</v>
      </c>
      <c r="S95" s="1" t="s">
        <v>238</v>
      </c>
      <c r="T95" s="2">
        <v>81.819999999999993</v>
      </c>
      <c r="U95" s="1">
        <v>3</v>
      </c>
      <c r="W95" s="9">
        <f t="shared" si="24"/>
        <v>69.819999999999993</v>
      </c>
      <c r="X95" t="s">
        <v>297</v>
      </c>
      <c r="Y95" s="3">
        <f t="shared" si="19"/>
        <v>13</v>
      </c>
      <c r="Z95" s="3">
        <f t="shared" si="17"/>
        <v>1</v>
      </c>
      <c r="AA95" s="3">
        <f t="shared" si="20"/>
        <v>12</v>
      </c>
      <c r="AB95" s="34">
        <f t="shared" si="21"/>
        <v>5</v>
      </c>
      <c r="AC95" s="34">
        <f t="shared" si="22"/>
        <v>12</v>
      </c>
      <c r="AD95" s="35">
        <f t="shared" si="18"/>
        <v>0.29411764705882354</v>
      </c>
      <c r="AE95" s="35">
        <f t="shared" si="23"/>
        <v>0.70588235294117652</v>
      </c>
    </row>
    <row r="96" spans="1:31" x14ac:dyDescent="0.2">
      <c r="A96" s="3" t="s">
        <v>139</v>
      </c>
      <c r="B96">
        <v>3.4463066587103799</v>
      </c>
      <c r="C96">
        <v>-76.537278787375499</v>
      </c>
      <c r="D96" t="s">
        <v>351</v>
      </c>
      <c r="E96" s="3" t="s">
        <v>251</v>
      </c>
      <c r="F96" s="1" t="s">
        <v>260</v>
      </c>
      <c r="G96" s="1" t="s">
        <v>251</v>
      </c>
      <c r="H96" s="1" t="s">
        <v>261</v>
      </c>
      <c r="I96" s="1" t="s">
        <v>251</v>
      </c>
      <c r="J96" s="1" t="s">
        <v>254</v>
      </c>
      <c r="K96" s="1" t="s">
        <v>211</v>
      </c>
      <c r="L96" s="1" t="s">
        <v>21</v>
      </c>
      <c r="M96" s="1" t="s">
        <v>247</v>
      </c>
      <c r="N96" s="1"/>
      <c r="O96" s="6" t="s">
        <v>246</v>
      </c>
      <c r="P96" s="1" t="s">
        <v>27</v>
      </c>
      <c r="Q96" s="1"/>
      <c r="R96" s="1">
        <v>2</v>
      </c>
      <c r="S96" s="1" t="s">
        <v>238</v>
      </c>
      <c r="T96" s="2">
        <v>90.25</v>
      </c>
      <c r="U96" s="1">
        <v>1</v>
      </c>
      <c r="W96" s="9">
        <f t="shared" si="24"/>
        <v>86.25</v>
      </c>
      <c r="X96" t="s">
        <v>298</v>
      </c>
      <c r="Y96" s="3">
        <f t="shared" si="19"/>
        <v>17</v>
      </c>
      <c r="Z96" s="3">
        <f t="shared" si="17"/>
        <v>1</v>
      </c>
      <c r="AA96" s="3">
        <f t="shared" si="20"/>
        <v>16</v>
      </c>
      <c r="AB96" s="34">
        <f t="shared" si="21"/>
        <v>5</v>
      </c>
      <c r="AC96" s="34">
        <f t="shared" si="22"/>
        <v>16</v>
      </c>
      <c r="AD96" s="35">
        <f t="shared" si="18"/>
        <v>0.23809523809523808</v>
      </c>
      <c r="AE96" s="35">
        <f t="shared" si="23"/>
        <v>0.76190476190476186</v>
      </c>
    </row>
    <row r="97" spans="1:31" x14ac:dyDescent="0.2">
      <c r="A97" s="3" t="s">
        <v>140</v>
      </c>
      <c r="B97">
        <v>3.44669312209292</v>
      </c>
      <c r="C97">
        <v>-76.537720678878301</v>
      </c>
      <c r="D97" t="s">
        <v>351</v>
      </c>
      <c r="E97" s="3" t="s">
        <v>20</v>
      </c>
      <c r="F97" s="1" t="s">
        <v>255</v>
      </c>
      <c r="G97" s="1" t="s">
        <v>251</v>
      </c>
      <c r="H97" s="1" t="s">
        <v>261</v>
      </c>
      <c r="I97" s="1" t="s">
        <v>251</v>
      </c>
      <c r="J97" s="1" t="s">
        <v>254</v>
      </c>
      <c r="K97" s="1" t="s">
        <v>229</v>
      </c>
      <c r="L97" s="1" t="s">
        <v>29</v>
      </c>
      <c r="M97" s="1" t="s">
        <v>247</v>
      </c>
      <c r="N97" s="1"/>
      <c r="O97" s="6" t="s">
        <v>343</v>
      </c>
      <c r="P97" s="1" t="s">
        <v>28</v>
      </c>
      <c r="Q97" s="1"/>
      <c r="R97" s="1">
        <v>2</v>
      </c>
      <c r="S97" s="1" t="s">
        <v>238</v>
      </c>
      <c r="T97" s="2">
        <v>60.9</v>
      </c>
      <c r="U97" s="1">
        <v>4</v>
      </c>
      <c r="W97" s="9">
        <f t="shared" si="24"/>
        <v>44.9</v>
      </c>
      <c r="X97" t="s">
        <v>268</v>
      </c>
      <c r="Y97" s="3">
        <f t="shared" si="19"/>
        <v>8</v>
      </c>
      <c r="Z97" s="3">
        <f t="shared" si="17"/>
        <v>0</v>
      </c>
      <c r="AA97" s="3">
        <f t="shared" si="20"/>
        <v>8</v>
      </c>
      <c r="AB97" s="34">
        <f t="shared" si="21"/>
        <v>0</v>
      </c>
      <c r="AC97" s="34">
        <f t="shared" si="22"/>
        <v>8</v>
      </c>
      <c r="AD97" s="35">
        <f t="shared" si="18"/>
        <v>0</v>
      </c>
      <c r="AE97" s="35">
        <f t="shared" si="23"/>
        <v>1</v>
      </c>
    </row>
    <row r="98" spans="1:31" x14ac:dyDescent="0.2">
      <c r="A98" s="3" t="s">
        <v>141</v>
      </c>
      <c r="B98">
        <v>3.4467833156543799</v>
      </c>
      <c r="C98">
        <v>-76.539384181926096</v>
      </c>
      <c r="D98" t="s">
        <v>351</v>
      </c>
      <c r="E98" s="3" t="s">
        <v>251</v>
      </c>
      <c r="F98" s="1" t="s">
        <v>261</v>
      </c>
      <c r="G98" s="1" t="s">
        <v>251</v>
      </c>
      <c r="H98" s="1" t="s">
        <v>263</v>
      </c>
      <c r="I98" s="1" t="s">
        <v>251</v>
      </c>
      <c r="J98" s="1" t="s">
        <v>260</v>
      </c>
      <c r="K98" s="1" t="s">
        <v>218</v>
      </c>
      <c r="L98" s="6" t="s">
        <v>21</v>
      </c>
      <c r="M98" s="1" t="s">
        <v>22</v>
      </c>
      <c r="N98" s="1"/>
      <c r="O98" s="6" t="s">
        <v>343</v>
      </c>
      <c r="P98" s="1" t="s">
        <v>23</v>
      </c>
      <c r="Q98" s="1"/>
      <c r="R98" s="1">
        <v>2</v>
      </c>
      <c r="S98" s="1" t="s">
        <v>238</v>
      </c>
      <c r="T98" s="2">
        <v>100.62</v>
      </c>
      <c r="U98" s="1">
        <v>2</v>
      </c>
      <c r="W98" s="9">
        <f t="shared" si="24"/>
        <v>92.62</v>
      </c>
      <c r="X98" t="s">
        <v>299</v>
      </c>
      <c r="Y98" s="3">
        <f t="shared" si="19"/>
        <v>18</v>
      </c>
      <c r="Z98" s="3">
        <f t="shared" si="17"/>
        <v>1</v>
      </c>
      <c r="AA98" s="3">
        <f t="shared" si="20"/>
        <v>17</v>
      </c>
      <c r="AB98" s="34">
        <f t="shared" si="21"/>
        <v>5</v>
      </c>
      <c r="AC98" s="34">
        <f t="shared" si="22"/>
        <v>17</v>
      </c>
      <c r="AD98" s="35">
        <f t="shared" si="18"/>
        <v>0.22727272727272727</v>
      </c>
      <c r="AE98" s="35">
        <f t="shared" si="23"/>
        <v>0.77272727272727271</v>
      </c>
    </row>
    <row r="99" spans="1:31" x14ac:dyDescent="0.2">
      <c r="A99" s="3" t="s">
        <v>142</v>
      </c>
      <c r="B99">
        <v>3.4465902490641902</v>
      </c>
      <c r="C99">
        <v>-76.538890874385203</v>
      </c>
      <c r="D99" t="s">
        <v>351</v>
      </c>
      <c r="E99" s="3" t="s">
        <v>20</v>
      </c>
      <c r="F99" s="1" t="s">
        <v>254</v>
      </c>
      <c r="G99" s="1" t="s">
        <v>251</v>
      </c>
      <c r="H99" s="1" t="s">
        <v>261</v>
      </c>
      <c r="I99" s="1" t="s">
        <v>251</v>
      </c>
      <c r="J99" s="1" t="s">
        <v>260</v>
      </c>
      <c r="K99" s="1" t="s">
        <v>233</v>
      </c>
      <c r="L99" s="1" t="s">
        <v>29</v>
      </c>
      <c r="M99" s="1"/>
      <c r="N99" s="6" t="s">
        <v>24</v>
      </c>
      <c r="O99" s="6" t="s">
        <v>246</v>
      </c>
      <c r="P99" s="1" t="s">
        <v>23</v>
      </c>
      <c r="Q99" s="1"/>
      <c r="R99" s="1">
        <v>2</v>
      </c>
      <c r="S99" s="1" t="s">
        <v>238</v>
      </c>
      <c r="T99" s="2">
        <v>41.32</v>
      </c>
      <c r="U99" s="1">
        <v>3</v>
      </c>
      <c r="W99" s="9">
        <f t="shared" si="24"/>
        <v>29.32</v>
      </c>
      <c r="X99" t="s">
        <v>269</v>
      </c>
      <c r="Y99" s="3">
        <f t="shared" si="19"/>
        <v>5</v>
      </c>
      <c r="Z99" s="3">
        <f t="shared" si="17"/>
        <v>0</v>
      </c>
      <c r="AA99" s="3">
        <f t="shared" si="20"/>
        <v>5</v>
      </c>
      <c r="AB99" s="34">
        <f t="shared" si="21"/>
        <v>0</v>
      </c>
      <c r="AC99" s="34">
        <f t="shared" si="22"/>
        <v>5</v>
      </c>
      <c r="AD99" s="35">
        <f t="shared" si="18"/>
        <v>0</v>
      </c>
      <c r="AE99" s="35">
        <f t="shared" si="23"/>
        <v>1</v>
      </c>
    </row>
    <row r="100" spans="1:31" x14ac:dyDescent="0.2">
      <c r="A100" s="3" t="s">
        <v>143</v>
      </c>
      <c r="B100">
        <v>3.4464658701992499</v>
      </c>
      <c r="C100">
        <v>-76.539384175687402</v>
      </c>
      <c r="D100" t="s">
        <v>351</v>
      </c>
      <c r="E100" s="3" t="s">
        <v>251</v>
      </c>
      <c r="F100" s="1" t="s">
        <v>260</v>
      </c>
      <c r="G100" s="1" t="s">
        <v>251</v>
      </c>
      <c r="H100" s="1" t="s">
        <v>261</v>
      </c>
      <c r="I100" s="1" t="s">
        <v>251</v>
      </c>
      <c r="J100" s="1" t="s">
        <v>262</v>
      </c>
      <c r="K100" s="1" t="s">
        <v>211</v>
      </c>
      <c r="L100" s="1" t="s">
        <v>21</v>
      </c>
      <c r="M100" s="1" t="s">
        <v>28</v>
      </c>
      <c r="N100" s="1"/>
      <c r="O100" s="6" t="s">
        <v>343</v>
      </c>
      <c r="P100" s="1" t="s">
        <v>23</v>
      </c>
      <c r="Q100" s="1"/>
      <c r="R100" s="1">
        <v>2</v>
      </c>
      <c r="S100" s="1" t="s">
        <v>238</v>
      </c>
      <c r="T100" s="2">
        <v>100.92</v>
      </c>
      <c r="U100" s="1">
        <v>1</v>
      </c>
      <c r="W100" s="9">
        <f t="shared" si="24"/>
        <v>96.92</v>
      </c>
      <c r="X100" t="s">
        <v>300</v>
      </c>
      <c r="Y100" s="3">
        <f t="shared" si="19"/>
        <v>19</v>
      </c>
      <c r="Z100" s="3">
        <f t="shared" si="17"/>
        <v>1</v>
      </c>
      <c r="AA100" s="3">
        <f t="shared" si="20"/>
        <v>18</v>
      </c>
      <c r="AB100" s="34">
        <f t="shared" si="21"/>
        <v>5</v>
      </c>
      <c r="AC100" s="34">
        <f t="shared" si="22"/>
        <v>18</v>
      </c>
      <c r="AD100" s="35">
        <f t="shared" si="18"/>
        <v>0.21739130434782608</v>
      </c>
      <c r="AE100" s="35">
        <f t="shared" si="23"/>
        <v>0.78260869565217395</v>
      </c>
    </row>
    <row r="101" spans="1:31" x14ac:dyDescent="0.2">
      <c r="A101" s="3" t="s">
        <v>144</v>
      </c>
      <c r="B101">
        <v>3.44659022951131</v>
      </c>
      <c r="C101">
        <v>-76.539877481877795</v>
      </c>
      <c r="D101" t="s">
        <v>351</v>
      </c>
      <c r="E101" s="3" t="s">
        <v>20</v>
      </c>
      <c r="F101" s="1">
        <v>2</v>
      </c>
      <c r="G101" s="1" t="s">
        <v>251</v>
      </c>
      <c r="H101" s="1">
        <v>9</v>
      </c>
      <c r="I101" s="1" t="s">
        <v>251</v>
      </c>
      <c r="J101" s="1">
        <v>10</v>
      </c>
      <c r="K101" s="1" t="s">
        <v>229</v>
      </c>
      <c r="L101" s="1" t="s">
        <v>29</v>
      </c>
      <c r="M101" s="1" t="s">
        <v>22</v>
      </c>
      <c r="N101" s="1"/>
      <c r="O101" s="6" t="s">
        <v>343</v>
      </c>
      <c r="P101" s="1" t="s">
        <v>27</v>
      </c>
      <c r="Q101" s="1"/>
      <c r="R101" s="1">
        <v>2</v>
      </c>
      <c r="S101" s="1" t="s">
        <v>238</v>
      </c>
      <c r="T101" s="2">
        <v>22.62</v>
      </c>
      <c r="U101" s="1">
        <v>2</v>
      </c>
      <c r="W101" s="9">
        <f t="shared" si="24"/>
        <v>14.620000000000001</v>
      </c>
      <c r="X101" t="s">
        <v>301</v>
      </c>
      <c r="Y101" s="3">
        <f t="shared" si="19"/>
        <v>2</v>
      </c>
      <c r="Z101" s="3">
        <f t="shared" si="17"/>
        <v>0</v>
      </c>
      <c r="AA101" s="3">
        <f t="shared" si="20"/>
        <v>2</v>
      </c>
      <c r="AB101" s="34">
        <f t="shared" si="21"/>
        <v>0</v>
      </c>
      <c r="AC101" s="34">
        <f t="shared" si="22"/>
        <v>2</v>
      </c>
      <c r="AD101" s="35">
        <f t="shared" si="18"/>
        <v>0</v>
      </c>
      <c r="AE101" s="35">
        <f t="shared" si="23"/>
        <v>1</v>
      </c>
    </row>
    <row r="102" spans="1:31" x14ac:dyDescent="0.2">
      <c r="A102" s="3" t="s">
        <v>145</v>
      </c>
      <c r="B102">
        <v>3.44876795922801</v>
      </c>
      <c r="C102">
        <v>-76.540531621464993</v>
      </c>
      <c r="D102" t="s">
        <v>351</v>
      </c>
      <c r="E102" s="3" t="s">
        <v>251</v>
      </c>
      <c r="F102" s="1" t="s">
        <v>255</v>
      </c>
      <c r="G102" s="1" t="s">
        <v>251</v>
      </c>
      <c r="H102" s="1" t="s">
        <v>254</v>
      </c>
      <c r="I102" s="1" t="s">
        <v>20</v>
      </c>
      <c r="J102" s="1" t="s">
        <v>253</v>
      </c>
      <c r="K102" s="1" t="s">
        <v>211</v>
      </c>
      <c r="L102" s="1" t="s">
        <v>29</v>
      </c>
      <c r="M102" s="1" t="s">
        <v>245</v>
      </c>
      <c r="N102" s="1"/>
      <c r="O102" s="6" t="s">
        <v>246</v>
      </c>
      <c r="P102" s="1" t="s">
        <v>28</v>
      </c>
      <c r="Q102" s="1"/>
      <c r="R102" s="1">
        <v>2</v>
      </c>
      <c r="S102" s="1" t="s">
        <v>238</v>
      </c>
      <c r="T102" s="2">
        <v>71.97</v>
      </c>
      <c r="U102" s="1">
        <v>3</v>
      </c>
      <c r="W102" s="9">
        <f t="shared" si="24"/>
        <v>59.97</v>
      </c>
      <c r="X102" t="s">
        <v>302</v>
      </c>
      <c r="Y102" s="3">
        <f t="shared" si="19"/>
        <v>11</v>
      </c>
      <c r="Z102" s="3">
        <f t="shared" si="17"/>
        <v>1</v>
      </c>
      <c r="AA102" s="3">
        <f t="shared" si="20"/>
        <v>10</v>
      </c>
      <c r="AB102" s="34">
        <f t="shared" si="21"/>
        <v>5</v>
      </c>
      <c r="AC102" s="34">
        <f t="shared" si="22"/>
        <v>10</v>
      </c>
      <c r="AD102" s="35">
        <f t="shared" si="18"/>
        <v>0.33333333333333331</v>
      </c>
      <c r="AE102" s="35">
        <f t="shared" si="23"/>
        <v>0.66666666666666663</v>
      </c>
    </row>
    <row r="103" spans="1:31" x14ac:dyDescent="0.2">
      <c r="A103" s="3" t="s">
        <v>146</v>
      </c>
      <c r="B103">
        <v>3.44821122460313</v>
      </c>
      <c r="C103">
        <v>-76.540059572818706</v>
      </c>
      <c r="D103" t="s">
        <v>351</v>
      </c>
      <c r="E103" s="3" t="s">
        <v>20</v>
      </c>
      <c r="F103" s="1" t="s">
        <v>253</v>
      </c>
      <c r="G103" s="1" t="s">
        <v>251</v>
      </c>
      <c r="H103" s="1" t="s">
        <v>257</v>
      </c>
      <c r="I103" s="1" t="s">
        <v>251</v>
      </c>
      <c r="J103" s="1" t="s">
        <v>257</v>
      </c>
      <c r="K103" s="1" t="s">
        <v>229</v>
      </c>
      <c r="L103" s="1" t="s">
        <v>29</v>
      </c>
      <c r="M103" s="1" t="s">
        <v>22</v>
      </c>
      <c r="N103" s="1"/>
      <c r="O103" s="6" t="s">
        <v>246</v>
      </c>
      <c r="P103" s="1" t="s">
        <v>28</v>
      </c>
      <c r="Q103" s="1"/>
      <c r="R103" s="1">
        <v>2</v>
      </c>
      <c r="S103" s="1" t="s">
        <v>238</v>
      </c>
      <c r="T103" s="2">
        <v>117.82</v>
      </c>
      <c r="U103" s="1">
        <v>0</v>
      </c>
      <c r="W103" s="9">
        <f t="shared" si="24"/>
        <v>117.82</v>
      </c>
      <c r="X103" t="s">
        <v>270</v>
      </c>
      <c r="Y103" s="3">
        <f t="shared" si="19"/>
        <v>23</v>
      </c>
      <c r="Z103" s="3">
        <f t="shared" si="17"/>
        <v>1</v>
      </c>
      <c r="AA103" s="3">
        <f t="shared" si="20"/>
        <v>22</v>
      </c>
      <c r="AB103" s="34">
        <f t="shared" si="21"/>
        <v>5</v>
      </c>
      <c r="AC103" s="34">
        <f t="shared" si="22"/>
        <v>22</v>
      </c>
      <c r="AD103" s="35">
        <f t="shared" si="18"/>
        <v>0.18518518518518517</v>
      </c>
      <c r="AE103" s="35">
        <f t="shared" si="23"/>
        <v>0.81481481481481477</v>
      </c>
    </row>
    <row r="104" spans="1:31" x14ac:dyDescent="0.2">
      <c r="A104" s="3" t="s">
        <v>147</v>
      </c>
      <c r="B104">
        <v>3.4476088659147899</v>
      </c>
      <c r="C104">
        <v>-76.540531597285806</v>
      </c>
      <c r="D104" t="s">
        <v>351</v>
      </c>
      <c r="E104" s="3" t="s">
        <v>251</v>
      </c>
      <c r="F104" s="1" t="s">
        <v>263</v>
      </c>
      <c r="G104" s="1" t="s">
        <v>20</v>
      </c>
      <c r="H104" s="1" t="s">
        <v>256</v>
      </c>
      <c r="I104" s="1" t="s">
        <v>20</v>
      </c>
      <c r="J104" s="1" t="s">
        <v>256</v>
      </c>
      <c r="K104" s="1" t="s">
        <v>211</v>
      </c>
      <c r="L104" s="6" t="s">
        <v>21</v>
      </c>
      <c r="M104" s="1" t="s">
        <v>22</v>
      </c>
      <c r="N104" s="1"/>
      <c r="O104" s="6" t="s">
        <v>246</v>
      </c>
      <c r="P104" s="1" t="s">
        <v>28</v>
      </c>
      <c r="Q104" s="1"/>
      <c r="R104" s="1">
        <v>2</v>
      </c>
      <c r="S104" s="1" t="s">
        <v>238</v>
      </c>
      <c r="T104" s="2">
        <v>44.21</v>
      </c>
      <c r="U104" s="1">
        <v>1</v>
      </c>
      <c r="W104" s="9">
        <f t="shared" si="24"/>
        <v>40.21</v>
      </c>
      <c r="X104" t="s">
        <v>303</v>
      </c>
      <c r="Y104" s="3">
        <f t="shared" si="19"/>
        <v>8</v>
      </c>
      <c r="Z104" s="3">
        <f t="shared" si="17"/>
        <v>0</v>
      </c>
      <c r="AA104" s="3">
        <f t="shared" si="20"/>
        <v>8</v>
      </c>
      <c r="AB104" s="34">
        <f t="shared" si="21"/>
        <v>0</v>
      </c>
      <c r="AC104" s="34">
        <f t="shared" si="22"/>
        <v>8</v>
      </c>
      <c r="AD104" s="35">
        <f t="shared" si="18"/>
        <v>0</v>
      </c>
      <c r="AE104" s="35">
        <f t="shared" si="23"/>
        <v>1</v>
      </c>
    </row>
    <row r="105" spans="1:31" x14ac:dyDescent="0.2">
      <c r="A105" s="3" t="s">
        <v>148</v>
      </c>
      <c r="B105">
        <v>3.4482112047526399</v>
      </c>
      <c r="C105">
        <v>-76.541003646881407</v>
      </c>
      <c r="D105" t="s">
        <v>351</v>
      </c>
      <c r="E105" s="3" t="s">
        <v>20</v>
      </c>
      <c r="F105" s="1" t="s">
        <v>256</v>
      </c>
      <c r="G105" s="1" t="s">
        <v>251</v>
      </c>
      <c r="H105" s="1" t="s">
        <v>255</v>
      </c>
      <c r="I105" s="1" t="s">
        <v>251</v>
      </c>
      <c r="J105" s="1" t="s">
        <v>30</v>
      </c>
      <c r="K105" s="1" t="s">
        <v>224</v>
      </c>
      <c r="L105" s="6" t="s">
        <v>29</v>
      </c>
      <c r="M105" s="1" t="s">
        <v>22</v>
      </c>
      <c r="N105" s="1"/>
      <c r="O105" s="6" t="s">
        <v>343</v>
      </c>
      <c r="P105" s="1" t="s">
        <v>28</v>
      </c>
      <c r="Q105" s="1"/>
      <c r="R105" s="1">
        <v>2</v>
      </c>
      <c r="S105" s="1" t="s">
        <v>224</v>
      </c>
      <c r="T105" s="2">
        <v>82.3</v>
      </c>
      <c r="U105" s="1">
        <v>2</v>
      </c>
      <c r="W105" s="9">
        <f t="shared" si="24"/>
        <v>74.3</v>
      </c>
      <c r="X105" t="s">
        <v>271</v>
      </c>
      <c r="Y105" s="3">
        <f t="shared" si="19"/>
        <v>14</v>
      </c>
      <c r="Z105" s="3">
        <f t="shared" si="17"/>
        <v>1</v>
      </c>
      <c r="AA105" s="3">
        <f t="shared" si="20"/>
        <v>13</v>
      </c>
      <c r="AB105" s="34">
        <f t="shared" si="21"/>
        <v>5</v>
      </c>
      <c r="AC105" s="34">
        <f t="shared" si="22"/>
        <v>13</v>
      </c>
      <c r="AD105" s="35">
        <f t="shared" si="18"/>
        <v>0.27777777777777779</v>
      </c>
      <c r="AE105" s="35">
        <f t="shared" si="23"/>
        <v>0.72222222222222221</v>
      </c>
    </row>
    <row r="106" spans="1:31" x14ac:dyDescent="0.2">
      <c r="A106" s="3" t="s">
        <v>149</v>
      </c>
      <c r="B106">
        <v>3.44847342238802</v>
      </c>
      <c r="C106">
        <v>-76.538428524521507</v>
      </c>
      <c r="D106" t="s">
        <v>351</v>
      </c>
      <c r="E106" s="3" t="s">
        <v>251</v>
      </c>
      <c r="F106" s="1" t="s">
        <v>257</v>
      </c>
      <c r="G106" s="1" t="s">
        <v>251</v>
      </c>
      <c r="H106" s="1" t="s">
        <v>255</v>
      </c>
      <c r="I106" s="1" t="s">
        <v>251</v>
      </c>
      <c r="J106" s="1" t="s">
        <v>263</v>
      </c>
      <c r="K106" s="1" t="s">
        <v>218</v>
      </c>
      <c r="L106" s="1" t="s">
        <v>29</v>
      </c>
      <c r="M106" s="1" t="s">
        <v>22</v>
      </c>
      <c r="N106" s="1"/>
      <c r="O106" s="6" t="s">
        <v>343</v>
      </c>
      <c r="P106" s="1" t="s">
        <v>28</v>
      </c>
      <c r="Q106" s="1"/>
      <c r="R106" s="1">
        <v>2</v>
      </c>
      <c r="S106" s="1" t="s">
        <v>238</v>
      </c>
      <c r="T106" s="2">
        <v>67.55</v>
      </c>
      <c r="U106" s="1">
        <v>3</v>
      </c>
      <c r="W106" s="9">
        <f t="shared" si="24"/>
        <v>55.55</v>
      </c>
      <c r="X106" t="s">
        <v>304</v>
      </c>
      <c r="Y106" s="3">
        <f t="shared" si="19"/>
        <v>11</v>
      </c>
      <c r="Z106" s="3">
        <f t="shared" si="17"/>
        <v>1</v>
      </c>
      <c r="AA106" s="3">
        <f t="shared" si="20"/>
        <v>10</v>
      </c>
      <c r="AB106" s="34">
        <f t="shared" si="21"/>
        <v>5</v>
      </c>
      <c r="AC106" s="34">
        <f t="shared" si="22"/>
        <v>10</v>
      </c>
      <c r="AD106" s="35">
        <f t="shared" si="18"/>
        <v>0.33333333333333331</v>
      </c>
      <c r="AE106" s="35">
        <f t="shared" si="23"/>
        <v>0.66666666666666663</v>
      </c>
    </row>
    <row r="107" spans="1:31" x14ac:dyDescent="0.2">
      <c r="A107" s="3" t="s">
        <v>150</v>
      </c>
      <c r="B107">
        <v>3.44891733794773</v>
      </c>
      <c r="C107">
        <v>-76.538750643314103</v>
      </c>
      <c r="D107" t="s">
        <v>351</v>
      </c>
      <c r="E107" s="3" t="s">
        <v>20</v>
      </c>
      <c r="F107" s="1" t="s">
        <v>254</v>
      </c>
      <c r="G107" s="1" t="s">
        <v>251</v>
      </c>
      <c r="H107" s="1" t="s">
        <v>255</v>
      </c>
      <c r="I107" s="1" t="s">
        <v>20</v>
      </c>
      <c r="J107" s="1" t="s">
        <v>255</v>
      </c>
      <c r="K107" s="1" t="s">
        <v>233</v>
      </c>
      <c r="L107" s="1" t="s">
        <v>21</v>
      </c>
      <c r="M107" s="1" t="s">
        <v>22</v>
      </c>
      <c r="N107" s="1"/>
      <c r="O107" s="6" t="s">
        <v>343</v>
      </c>
      <c r="P107" s="1" t="s">
        <v>28</v>
      </c>
      <c r="Q107" s="1"/>
      <c r="R107" s="1">
        <v>2</v>
      </c>
      <c r="S107" s="1" t="s">
        <v>238</v>
      </c>
      <c r="T107" s="2">
        <v>58.12</v>
      </c>
      <c r="U107" s="1">
        <v>5</v>
      </c>
      <c r="W107" s="9">
        <f t="shared" si="24"/>
        <v>38.119999999999997</v>
      </c>
      <c r="X107" t="s">
        <v>272</v>
      </c>
      <c r="Y107" s="3">
        <f t="shared" si="19"/>
        <v>7</v>
      </c>
      <c r="Z107" s="3">
        <f t="shared" si="17"/>
        <v>0</v>
      </c>
      <c r="AA107" s="3">
        <f t="shared" si="20"/>
        <v>7</v>
      </c>
      <c r="AB107" s="34">
        <f t="shared" si="21"/>
        <v>0</v>
      </c>
      <c r="AC107" s="34">
        <f t="shared" si="22"/>
        <v>7</v>
      </c>
      <c r="AD107" s="35">
        <f t="shared" si="18"/>
        <v>0</v>
      </c>
      <c r="AE107" s="35">
        <f t="shared" si="23"/>
        <v>1</v>
      </c>
    </row>
    <row r="108" spans="1:31" x14ac:dyDescent="0.2">
      <c r="A108" s="3" t="s">
        <v>151</v>
      </c>
      <c r="B108">
        <v>3.4463207508427289</v>
      </c>
      <c r="C108">
        <v>-76.542682693201101</v>
      </c>
      <c r="D108" t="s">
        <v>351</v>
      </c>
      <c r="E108" s="3" t="s">
        <v>251</v>
      </c>
      <c r="F108" s="1" t="s">
        <v>262</v>
      </c>
      <c r="G108" s="1" t="s">
        <v>251</v>
      </c>
      <c r="H108" s="1" t="s">
        <v>260</v>
      </c>
      <c r="I108" s="1" t="s">
        <v>20</v>
      </c>
      <c r="J108" s="1" t="s">
        <v>348</v>
      </c>
      <c r="K108" s="1" t="s">
        <v>218</v>
      </c>
      <c r="L108" s="1" t="s">
        <v>21</v>
      </c>
      <c r="M108" s="1" t="s">
        <v>245</v>
      </c>
      <c r="N108" s="1"/>
      <c r="O108" s="6" t="s">
        <v>343</v>
      </c>
      <c r="P108" s="1" t="s">
        <v>27</v>
      </c>
      <c r="Q108" s="1"/>
      <c r="R108" s="1">
        <v>2</v>
      </c>
      <c r="S108" s="1" t="s">
        <v>238</v>
      </c>
      <c r="T108" s="2">
        <v>66.989999999999995</v>
      </c>
      <c r="U108" s="1">
        <v>2</v>
      </c>
      <c r="W108" s="9">
        <f t="shared" si="24"/>
        <v>58.989999999999995</v>
      </c>
      <c r="X108" t="s">
        <v>305</v>
      </c>
      <c r="Y108" s="3">
        <f t="shared" si="19"/>
        <v>11</v>
      </c>
      <c r="Z108" s="3">
        <f t="shared" si="17"/>
        <v>1</v>
      </c>
      <c r="AA108" s="3">
        <f t="shared" si="20"/>
        <v>10</v>
      </c>
      <c r="AB108" s="34">
        <f t="shared" si="21"/>
        <v>5</v>
      </c>
      <c r="AC108" s="34">
        <f t="shared" si="22"/>
        <v>10</v>
      </c>
      <c r="AD108" s="35">
        <f t="shared" si="18"/>
        <v>0.33333333333333331</v>
      </c>
      <c r="AE108" s="35">
        <f t="shared" si="23"/>
        <v>0.66666666666666663</v>
      </c>
    </row>
    <row r="109" spans="1:31" x14ac:dyDescent="0.2">
      <c r="A109" s="3" t="s">
        <v>152</v>
      </c>
      <c r="B109">
        <v>3.446244824089721</v>
      </c>
      <c r="C109">
        <v>-76.542486760827302</v>
      </c>
      <c r="D109" t="s">
        <v>351</v>
      </c>
      <c r="E109" s="3" t="s">
        <v>20</v>
      </c>
      <c r="F109" s="1" t="s">
        <v>348</v>
      </c>
      <c r="G109" s="1" t="s">
        <v>251</v>
      </c>
      <c r="H109" s="1" t="s">
        <v>260</v>
      </c>
      <c r="I109" s="1" t="s">
        <v>251</v>
      </c>
      <c r="J109" s="1" t="s">
        <v>262</v>
      </c>
      <c r="K109" s="1" t="s">
        <v>224</v>
      </c>
      <c r="L109" s="6" t="s">
        <v>21</v>
      </c>
      <c r="M109" s="1" t="s">
        <v>22</v>
      </c>
      <c r="N109" s="1"/>
      <c r="O109" s="6" t="s">
        <v>343</v>
      </c>
      <c r="P109" s="1" t="s">
        <v>28</v>
      </c>
      <c r="Q109" s="1"/>
      <c r="R109" s="1">
        <v>2</v>
      </c>
      <c r="S109" s="1" t="s">
        <v>224</v>
      </c>
      <c r="T109" s="2">
        <v>23.46</v>
      </c>
      <c r="U109" s="1">
        <v>1</v>
      </c>
      <c r="W109" s="9">
        <f t="shared" si="24"/>
        <v>19.46</v>
      </c>
      <c r="X109" t="s">
        <v>273</v>
      </c>
      <c r="Y109" s="3">
        <f t="shared" si="19"/>
        <v>3</v>
      </c>
      <c r="Z109" s="3">
        <f t="shared" si="17"/>
        <v>0</v>
      </c>
      <c r="AA109" s="3">
        <f t="shared" si="20"/>
        <v>3</v>
      </c>
      <c r="AB109" s="34">
        <f t="shared" si="21"/>
        <v>0</v>
      </c>
      <c r="AC109" s="34">
        <f t="shared" si="22"/>
        <v>3</v>
      </c>
      <c r="AD109" s="35">
        <f t="shared" si="18"/>
        <v>0</v>
      </c>
      <c r="AE109" s="35">
        <f t="shared" si="23"/>
        <v>1</v>
      </c>
    </row>
    <row r="110" spans="1:31" x14ac:dyDescent="0.2">
      <c r="A110" s="3" t="s">
        <v>153</v>
      </c>
      <c r="B110">
        <v>3.4477369943645702</v>
      </c>
      <c r="C110">
        <v>-76.538323773103897</v>
      </c>
      <c r="D110" t="s">
        <v>351</v>
      </c>
      <c r="E110" s="3" t="s">
        <v>251</v>
      </c>
      <c r="F110" s="1" t="s">
        <v>263</v>
      </c>
      <c r="G110" s="1" t="s">
        <v>251</v>
      </c>
      <c r="H110" s="1" t="s">
        <v>257</v>
      </c>
      <c r="I110" s="1" t="s">
        <v>251</v>
      </c>
      <c r="J110" s="1" t="s">
        <v>261</v>
      </c>
      <c r="K110" s="1" t="s">
        <v>211</v>
      </c>
      <c r="L110" s="6" t="s">
        <v>29</v>
      </c>
      <c r="M110" s="1" t="s">
        <v>245</v>
      </c>
      <c r="N110" s="1"/>
      <c r="O110" s="6" t="s">
        <v>343</v>
      </c>
      <c r="P110" s="1" t="s">
        <v>28</v>
      </c>
      <c r="Q110" s="1"/>
      <c r="R110" s="1">
        <v>2</v>
      </c>
      <c r="S110" s="1" t="s">
        <v>238</v>
      </c>
      <c r="T110" s="2">
        <v>73.23</v>
      </c>
      <c r="U110" s="1">
        <v>3</v>
      </c>
      <c r="W110" s="9">
        <f t="shared" si="24"/>
        <v>61.230000000000004</v>
      </c>
      <c r="X110" t="s">
        <v>306</v>
      </c>
      <c r="Y110" s="3">
        <f t="shared" si="19"/>
        <v>12</v>
      </c>
      <c r="Z110" s="3">
        <f t="shared" si="17"/>
        <v>1</v>
      </c>
      <c r="AA110" s="3">
        <f t="shared" si="20"/>
        <v>11</v>
      </c>
      <c r="AB110" s="34">
        <f t="shared" si="21"/>
        <v>5</v>
      </c>
      <c r="AC110" s="34">
        <f t="shared" si="22"/>
        <v>11</v>
      </c>
      <c r="AD110" s="35">
        <f t="shared" si="18"/>
        <v>0.3125</v>
      </c>
      <c r="AE110" s="35">
        <f t="shared" si="23"/>
        <v>0.6875</v>
      </c>
    </row>
    <row r="111" spans="1:31" x14ac:dyDescent="0.2">
      <c r="A111" s="3" t="s">
        <v>154</v>
      </c>
      <c r="B111">
        <v>3.44740523998429</v>
      </c>
      <c r="C111">
        <v>-76.537944748651</v>
      </c>
      <c r="D111" t="s">
        <v>351</v>
      </c>
      <c r="E111" s="3" t="s">
        <v>20</v>
      </c>
      <c r="F111" s="1" t="s">
        <v>255</v>
      </c>
      <c r="G111" s="1" t="s">
        <v>251</v>
      </c>
      <c r="H111" s="1" t="s">
        <v>261</v>
      </c>
      <c r="I111" s="1" t="s">
        <v>251</v>
      </c>
      <c r="J111" s="1" t="s">
        <v>261</v>
      </c>
      <c r="K111" s="1" t="s">
        <v>229</v>
      </c>
      <c r="L111" s="1" t="s">
        <v>21</v>
      </c>
      <c r="M111" s="1" t="s">
        <v>28</v>
      </c>
      <c r="N111" s="1"/>
      <c r="O111" s="6" t="s">
        <v>343</v>
      </c>
      <c r="P111" s="1" t="s">
        <v>28</v>
      </c>
      <c r="Q111" s="1"/>
      <c r="R111" s="1">
        <v>2</v>
      </c>
      <c r="S111" s="1" t="s">
        <v>238</v>
      </c>
      <c r="T111" s="2">
        <v>75.59</v>
      </c>
      <c r="U111" s="1">
        <v>2</v>
      </c>
      <c r="W111" s="9">
        <f t="shared" si="24"/>
        <v>67.59</v>
      </c>
      <c r="X111" t="s">
        <v>274</v>
      </c>
      <c r="Y111" s="3">
        <f t="shared" si="19"/>
        <v>13</v>
      </c>
      <c r="Z111" s="3">
        <f t="shared" si="17"/>
        <v>1</v>
      </c>
      <c r="AA111" s="3">
        <f t="shared" si="20"/>
        <v>12</v>
      </c>
      <c r="AB111" s="34">
        <f t="shared" si="21"/>
        <v>5</v>
      </c>
      <c r="AC111" s="34">
        <f t="shared" si="22"/>
        <v>12</v>
      </c>
      <c r="AD111" s="35">
        <f t="shared" si="18"/>
        <v>0.29411764705882354</v>
      </c>
      <c r="AE111" s="35">
        <f t="shared" si="23"/>
        <v>0.70588235294117652</v>
      </c>
    </row>
    <row r="112" spans="1:31" x14ac:dyDescent="0.2">
      <c r="A112" s="3" t="s">
        <v>155</v>
      </c>
      <c r="B112">
        <v>3.4469922872243699</v>
      </c>
      <c r="C112">
        <v>-76.538323759289895</v>
      </c>
      <c r="D112" t="s">
        <v>351</v>
      </c>
      <c r="E112" s="3" t="s">
        <v>251</v>
      </c>
      <c r="F112" s="1" t="s">
        <v>261</v>
      </c>
      <c r="G112" s="1" t="s">
        <v>251</v>
      </c>
      <c r="H112" s="1" t="s">
        <v>263</v>
      </c>
      <c r="I112" s="1" t="s">
        <v>251</v>
      </c>
      <c r="J112" s="1" t="s">
        <v>260</v>
      </c>
      <c r="K112" s="1" t="s">
        <v>218</v>
      </c>
      <c r="L112" s="6" t="s">
        <v>29</v>
      </c>
      <c r="M112" s="1" t="s">
        <v>22</v>
      </c>
      <c r="N112" s="1"/>
      <c r="O112" s="6" t="s">
        <v>343</v>
      </c>
      <c r="P112" s="1" t="s">
        <v>28</v>
      </c>
      <c r="Q112" s="1"/>
      <c r="R112" s="1">
        <v>2</v>
      </c>
      <c r="S112" s="1" t="s">
        <v>238</v>
      </c>
      <c r="T112" s="2">
        <v>75.73</v>
      </c>
      <c r="U112" s="1">
        <v>3</v>
      </c>
      <c r="W112" s="9">
        <f t="shared" si="24"/>
        <v>63.730000000000004</v>
      </c>
      <c r="X112" t="s">
        <v>307</v>
      </c>
      <c r="Y112" s="3">
        <f t="shared" si="19"/>
        <v>12</v>
      </c>
      <c r="Z112" s="3">
        <f t="shared" si="17"/>
        <v>1</v>
      </c>
      <c r="AA112" s="3">
        <f t="shared" si="20"/>
        <v>11</v>
      </c>
      <c r="AB112" s="34">
        <f t="shared" si="21"/>
        <v>5</v>
      </c>
      <c r="AC112" s="34">
        <f t="shared" si="22"/>
        <v>11</v>
      </c>
      <c r="AD112" s="35">
        <f t="shared" si="18"/>
        <v>0.3125</v>
      </c>
      <c r="AE112" s="35">
        <f t="shared" si="23"/>
        <v>0.6875</v>
      </c>
    </row>
    <row r="113" spans="1:31" x14ac:dyDescent="0.2">
      <c r="A113" s="3" t="s">
        <v>156</v>
      </c>
      <c r="B113">
        <v>3.4474052258077101</v>
      </c>
      <c r="C113">
        <v>-76.538702785247906</v>
      </c>
      <c r="D113" t="s">
        <v>351</v>
      </c>
      <c r="E113" s="3" t="s">
        <v>20</v>
      </c>
      <c r="F113" s="1" t="s">
        <v>254</v>
      </c>
      <c r="G113" s="1" t="s">
        <v>251</v>
      </c>
      <c r="H113" s="1" t="s">
        <v>263</v>
      </c>
      <c r="I113" s="1" t="s">
        <v>251</v>
      </c>
      <c r="J113" s="1" t="s">
        <v>261</v>
      </c>
      <c r="K113" s="1" t="s">
        <v>233</v>
      </c>
      <c r="L113" s="1" t="s">
        <v>21</v>
      </c>
      <c r="M113" s="1" t="s">
        <v>245</v>
      </c>
      <c r="N113" s="1"/>
      <c r="O113" s="6" t="s">
        <v>343</v>
      </c>
      <c r="P113" s="1" t="s">
        <v>28</v>
      </c>
      <c r="Q113" s="1"/>
      <c r="R113" s="1">
        <v>2</v>
      </c>
      <c r="S113" s="1" t="s">
        <v>238</v>
      </c>
      <c r="T113" s="2">
        <v>60.15</v>
      </c>
      <c r="U113" s="1">
        <v>1</v>
      </c>
      <c r="W113" s="9">
        <f t="shared" si="24"/>
        <v>56.15</v>
      </c>
      <c r="X113" t="s">
        <v>275</v>
      </c>
      <c r="Y113" s="3">
        <f t="shared" si="19"/>
        <v>11</v>
      </c>
      <c r="Z113" s="3">
        <f t="shared" si="17"/>
        <v>1</v>
      </c>
      <c r="AA113" s="3">
        <f t="shared" si="20"/>
        <v>10</v>
      </c>
      <c r="AB113" s="34">
        <f t="shared" si="21"/>
        <v>5</v>
      </c>
      <c r="AC113" s="34">
        <f t="shared" si="22"/>
        <v>10</v>
      </c>
      <c r="AD113" s="35">
        <f t="shared" si="18"/>
        <v>0.33333333333333331</v>
      </c>
      <c r="AE113" s="35">
        <f t="shared" si="23"/>
        <v>0.66666666666666663</v>
      </c>
    </row>
    <row r="114" spans="1:31" x14ac:dyDescent="0.2">
      <c r="A114" s="3" t="s">
        <v>157</v>
      </c>
      <c r="B114">
        <v>3.44691144068601</v>
      </c>
      <c r="C114">
        <v>-76.540244733263293</v>
      </c>
      <c r="D114" t="s">
        <v>351</v>
      </c>
      <c r="E114" s="3" t="s">
        <v>251</v>
      </c>
      <c r="F114" s="1" t="s">
        <v>261</v>
      </c>
      <c r="G114" s="1" t="s">
        <v>251</v>
      </c>
      <c r="H114" s="1" t="s">
        <v>263</v>
      </c>
      <c r="I114" s="1" t="s">
        <v>251</v>
      </c>
      <c r="J114" s="1" t="s">
        <v>260</v>
      </c>
      <c r="K114" s="1" t="s">
        <v>218</v>
      </c>
      <c r="L114" s="6" t="s">
        <v>29</v>
      </c>
      <c r="M114" s="1" t="s">
        <v>247</v>
      </c>
      <c r="N114" s="1"/>
      <c r="O114" s="6" t="s">
        <v>343</v>
      </c>
      <c r="P114" s="1" t="s">
        <v>28</v>
      </c>
      <c r="Q114" s="1"/>
      <c r="R114" s="1">
        <v>2</v>
      </c>
      <c r="S114" s="1" t="s">
        <v>238</v>
      </c>
      <c r="T114" s="2">
        <v>29.36</v>
      </c>
      <c r="U114" s="1">
        <v>2</v>
      </c>
      <c r="W114" s="9">
        <f t="shared" si="24"/>
        <v>21.36</v>
      </c>
      <c r="X114" t="s">
        <v>308</v>
      </c>
      <c r="Y114" s="3">
        <f t="shared" si="19"/>
        <v>4</v>
      </c>
      <c r="Z114" s="3">
        <f t="shared" si="17"/>
        <v>0</v>
      </c>
      <c r="AA114" s="3">
        <f t="shared" si="20"/>
        <v>4</v>
      </c>
      <c r="AB114" s="34">
        <f t="shared" si="21"/>
        <v>0</v>
      </c>
      <c r="AC114" s="34">
        <f t="shared" si="22"/>
        <v>4</v>
      </c>
      <c r="AD114" s="35">
        <f t="shared" si="18"/>
        <v>0</v>
      </c>
      <c r="AE114" s="35">
        <f t="shared" si="23"/>
        <v>1</v>
      </c>
    </row>
    <row r="115" spans="1:31" x14ac:dyDescent="0.2">
      <c r="A115" s="3" t="s">
        <v>158</v>
      </c>
      <c r="B115">
        <v>3.44838734919075</v>
      </c>
      <c r="C115">
        <v>-76.538373695037393</v>
      </c>
      <c r="D115" t="s">
        <v>351</v>
      </c>
      <c r="E115" s="3" t="s">
        <v>251</v>
      </c>
      <c r="F115" s="1" t="s">
        <v>257</v>
      </c>
      <c r="G115" s="1" t="s">
        <v>20</v>
      </c>
      <c r="H115" s="1" t="s">
        <v>255</v>
      </c>
      <c r="I115" s="1" t="s">
        <v>251</v>
      </c>
      <c r="J115" s="1" t="s">
        <v>263</v>
      </c>
      <c r="K115" s="1" t="s">
        <v>218</v>
      </c>
      <c r="L115" s="1" t="s">
        <v>21</v>
      </c>
      <c r="M115" s="1" t="s">
        <v>245</v>
      </c>
      <c r="N115" s="1"/>
      <c r="O115" s="6" t="s">
        <v>343</v>
      </c>
      <c r="P115" s="1" t="s">
        <v>28</v>
      </c>
      <c r="Q115" s="1"/>
      <c r="R115" s="1">
        <v>2</v>
      </c>
      <c r="S115" s="1" t="s">
        <v>238</v>
      </c>
      <c r="T115" s="2">
        <v>64.45</v>
      </c>
      <c r="U115" s="1">
        <v>4</v>
      </c>
      <c r="W115" s="9">
        <f t="shared" si="24"/>
        <v>48.45</v>
      </c>
      <c r="X115" t="s">
        <v>309</v>
      </c>
      <c r="Y115" s="3">
        <f t="shared" si="19"/>
        <v>9</v>
      </c>
      <c r="Z115" s="3">
        <f t="shared" si="17"/>
        <v>0</v>
      </c>
      <c r="AA115" s="3">
        <f t="shared" si="20"/>
        <v>9</v>
      </c>
      <c r="AB115" s="34">
        <f t="shared" si="21"/>
        <v>0</v>
      </c>
      <c r="AC115" s="34">
        <f t="shared" si="22"/>
        <v>9</v>
      </c>
      <c r="AD115" s="35">
        <f t="shared" si="18"/>
        <v>0</v>
      </c>
      <c r="AE115" s="35">
        <f t="shared" si="23"/>
        <v>1</v>
      </c>
    </row>
    <row r="116" spans="1:31" x14ac:dyDescent="0.2">
      <c r="A116" s="3" t="s">
        <v>159</v>
      </c>
      <c r="B116">
        <v>3.448141300470271</v>
      </c>
      <c r="C116">
        <v>-76.538019611364504</v>
      </c>
      <c r="D116" t="s">
        <v>351</v>
      </c>
      <c r="E116" s="3" t="s">
        <v>20</v>
      </c>
      <c r="F116" s="1" t="s">
        <v>255</v>
      </c>
      <c r="G116" s="1" t="s">
        <v>251</v>
      </c>
      <c r="H116" s="1" t="s">
        <v>255</v>
      </c>
      <c r="I116" s="1" t="s">
        <v>251</v>
      </c>
      <c r="J116" s="1" t="s">
        <v>263</v>
      </c>
      <c r="K116" s="1" t="s">
        <v>229</v>
      </c>
      <c r="L116" s="1" t="s">
        <v>21</v>
      </c>
      <c r="M116" s="1"/>
      <c r="N116" s="6" t="s">
        <v>24</v>
      </c>
      <c r="O116" s="6" t="s">
        <v>343</v>
      </c>
      <c r="P116" s="1" t="s">
        <v>28</v>
      </c>
      <c r="Q116" s="1"/>
      <c r="R116" s="1">
        <v>2</v>
      </c>
      <c r="S116" s="1" t="s">
        <v>238</v>
      </c>
      <c r="T116" s="2">
        <v>56.16</v>
      </c>
      <c r="U116" s="1">
        <v>3</v>
      </c>
      <c r="W116" s="9">
        <f t="shared" si="24"/>
        <v>44.16</v>
      </c>
      <c r="X116" t="s">
        <v>276</v>
      </c>
      <c r="Y116" s="3">
        <f t="shared" si="19"/>
        <v>8</v>
      </c>
      <c r="Z116" s="3">
        <f t="shared" si="17"/>
        <v>0</v>
      </c>
      <c r="AA116" s="3">
        <f t="shared" si="20"/>
        <v>8</v>
      </c>
      <c r="AB116" s="34">
        <f t="shared" si="21"/>
        <v>0</v>
      </c>
      <c r="AC116" s="34">
        <f t="shared" si="22"/>
        <v>8</v>
      </c>
      <c r="AD116" s="35">
        <f t="shared" si="18"/>
        <v>0</v>
      </c>
      <c r="AE116" s="35">
        <f t="shared" si="23"/>
        <v>1</v>
      </c>
    </row>
    <row r="117" spans="1:31" x14ac:dyDescent="0.2">
      <c r="A117" s="3" t="s">
        <v>160</v>
      </c>
      <c r="B117">
        <v>3.4478480612269902</v>
      </c>
      <c r="C117">
        <v>-76.538373685003606</v>
      </c>
      <c r="D117" t="s">
        <v>351</v>
      </c>
      <c r="E117" s="3" t="s">
        <v>251</v>
      </c>
      <c r="F117" s="1" t="s">
        <v>263</v>
      </c>
      <c r="G117" s="1" t="s">
        <v>251</v>
      </c>
      <c r="H117" s="1" t="s">
        <v>257</v>
      </c>
      <c r="I117" s="1" t="s">
        <v>20</v>
      </c>
      <c r="J117" s="1" t="s">
        <v>255</v>
      </c>
      <c r="K117" s="1" t="s">
        <v>211</v>
      </c>
      <c r="L117" s="6" t="s">
        <v>21</v>
      </c>
      <c r="M117" s="1" t="s">
        <v>22</v>
      </c>
      <c r="N117" s="1"/>
      <c r="O117" s="6" t="s">
        <v>246</v>
      </c>
      <c r="P117" s="1" t="s">
        <v>27</v>
      </c>
      <c r="Q117" s="1"/>
      <c r="R117" s="1">
        <v>2</v>
      </c>
      <c r="S117" s="1" t="s">
        <v>238</v>
      </c>
      <c r="T117" s="2">
        <v>71.31</v>
      </c>
      <c r="U117" s="1">
        <v>2</v>
      </c>
      <c r="W117" s="9">
        <f t="shared" si="24"/>
        <v>63.31</v>
      </c>
      <c r="X117" t="s">
        <v>310</v>
      </c>
      <c r="Y117" s="3">
        <f t="shared" si="19"/>
        <v>12</v>
      </c>
      <c r="Z117" s="3">
        <f t="shared" si="17"/>
        <v>1</v>
      </c>
      <c r="AA117" s="3">
        <f t="shared" si="20"/>
        <v>11</v>
      </c>
      <c r="AB117" s="34">
        <f t="shared" si="21"/>
        <v>5</v>
      </c>
      <c r="AC117" s="34">
        <f t="shared" si="22"/>
        <v>11</v>
      </c>
      <c r="AD117" s="35">
        <f t="shared" si="18"/>
        <v>0.3125</v>
      </c>
      <c r="AE117" s="35">
        <f t="shared" si="23"/>
        <v>0.6875</v>
      </c>
    </row>
    <row r="118" spans="1:31" x14ac:dyDescent="0.2">
      <c r="A118" s="3" t="s">
        <v>161</v>
      </c>
      <c r="B118">
        <v>3.4481412871893</v>
      </c>
      <c r="C118">
        <v>-76.538727769553901</v>
      </c>
      <c r="D118" t="s">
        <v>351</v>
      </c>
      <c r="E118" s="3" t="s">
        <v>20</v>
      </c>
      <c r="F118" s="1" t="s">
        <v>254</v>
      </c>
      <c r="G118" s="1" t="s">
        <v>251</v>
      </c>
      <c r="H118" s="1" t="s">
        <v>263</v>
      </c>
      <c r="I118" s="1" t="s">
        <v>251</v>
      </c>
      <c r="J118" s="1" t="s">
        <v>257</v>
      </c>
      <c r="K118" s="1" t="s">
        <v>233</v>
      </c>
      <c r="L118" s="1" t="s">
        <v>21</v>
      </c>
      <c r="M118" s="1" t="s">
        <v>247</v>
      </c>
      <c r="N118" s="1"/>
      <c r="O118" s="6" t="s">
        <v>246</v>
      </c>
      <c r="P118" s="1" t="s">
        <v>27</v>
      </c>
      <c r="Q118" s="1"/>
      <c r="R118" s="1">
        <v>2</v>
      </c>
      <c r="S118" s="1" t="s">
        <v>238</v>
      </c>
      <c r="T118" s="2">
        <v>37.630000000000003</v>
      </c>
      <c r="U118" s="1">
        <v>1</v>
      </c>
      <c r="W118" s="9">
        <f t="shared" si="24"/>
        <v>33.630000000000003</v>
      </c>
      <c r="X118" t="s">
        <v>277</v>
      </c>
      <c r="Y118" s="3">
        <f t="shared" si="19"/>
        <v>6</v>
      </c>
      <c r="Z118" s="3">
        <f t="shared" si="17"/>
        <v>0</v>
      </c>
      <c r="AA118" s="3">
        <f t="shared" si="20"/>
        <v>6</v>
      </c>
      <c r="AB118" s="34">
        <f t="shared" si="21"/>
        <v>0</v>
      </c>
      <c r="AC118" s="34">
        <f t="shared" si="22"/>
        <v>6</v>
      </c>
      <c r="AD118" s="35">
        <f t="shared" si="18"/>
        <v>0</v>
      </c>
      <c r="AE118" s="35">
        <f t="shared" si="23"/>
        <v>1</v>
      </c>
    </row>
    <row r="119" spans="1:31" x14ac:dyDescent="0.2">
      <c r="A119" s="3" t="s">
        <v>162</v>
      </c>
      <c r="B119">
        <v>3.4467967257575198</v>
      </c>
      <c r="C119">
        <v>-76.540197489480803</v>
      </c>
      <c r="D119" t="s">
        <v>351</v>
      </c>
      <c r="E119" s="3" t="s">
        <v>251</v>
      </c>
      <c r="F119" s="1" t="s">
        <v>261</v>
      </c>
      <c r="G119" s="1" t="s">
        <v>251</v>
      </c>
      <c r="H119" s="1" t="s">
        <v>263</v>
      </c>
      <c r="I119" s="1" t="s">
        <v>20</v>
      </c>
      <c r="J119" s="1" t="s">
        <v>253</v>
      </c>
      <c r="K119" s="1" t="s">
        <v>218</v>
      </c>
      <c r="L119" s="6" t="s">
        <v>21</v>
      </c>
      <c r="M119" s="1" t="s">
        <v>247</v>
      </c>
      <c r="N119" s="1"/>
      <c r="O119" s="6" t="s">
        <v>246</v>
      </c>
      <c r="P119" s="1" t="s">
        <v>28</v>
      </c>
      <c r="Q119" s="1"/>
      <c r="R119" s="1">
        <v>2</v>
      </c>
      <c r="S119" s="1" t="s">
        <v>238</v>
      </c>
      <c r="T119" s="2">
        <v>26.81</v>
      </c>
      <c r="U119" s="1">
        <v>0</v>
      </c>
      <c r="W119" s="9">
        <f t="shared" si="24"/>
        <v>26.81</v>
      </c>
      <c r="X119" t="s">
        <v>311</v>
      </c>
      <c r="Y119" s="3">
        <f t="shared" si="19"/>
        <v>5</v>
      </c>
      <c r="Z119" s="3">
        <f t="shared" si="17"/>
        <v>0</v>
      </c>
      <c r="AA119" s="3">
        <f t="shared" si="20"/>
        <v>5</v>
      </c>
      <c r="AB119" s="34">
        <f t="shared" si="21"/>
        <v>0</v>
      </c>
      <c r="AC119" s="34">
        <f t="shared" si="22"/>
        <v>5</v>
      </c>
      <c r="AD119" s="35">
        <f t="shared" si="18"/>
        <v>0</v>
      </c>
      <c r="AE119" s="35">
        <f t="shared" si="23"/>
        <v>1</v>
      </c>
    </row>
    <row r="120" spans="1:31" x14ac:dyDescent="0.2">
      <c r="A120" s="3" t="s">
        <v>163</v>
      </c>
      <c r="B120">
        <v>3.4467120364424599</v>
      </c>
      <c r="C120">
        <v>-76.540020689467994</v>
      </c>
      <c r="D120" t="s">
        <v>351</v>
      </c>
      <c r="E120" s="3" t="s">
        <v>20</v>
      </c>
      <c r="F120" s="1">
        <v>2</v>
      </c>
      <c r="G120" s="1" t="s">
        <v>251</v>
      </c>
      <c r="H120" s="1">
        <v>9</v>
      </c>
      <c r="I120" s="1" t="s">
        <v>251</v>
      </c>
      <c r="J120" s="1">
        <v>10</v>
      </c>
      <c r="K120" s="1" t="s">
        <v>211</v>
      </c>
      <c r="L120" s="1" t="s">
        <v>21</v>
      </c>
      <c r="M120" s="1" t="s">
        <v>245</v>
      </c>
      <c r="N120" s="1"/>
      <c r="O120" s="6" t="s">
        <v>345</v>
      </c>
      <c r="P120" s="1" t="s">
        <v>23</v>
      </c>
      <c r="Q120" s="1"/>
      <c r="R120" s="1">
        <v>2</v>
      </c>
      <c r="S120" s="1" t="s">
        <v>238</v>
      </c>
      <c r="T120" s="2">
        <v>19.43</v>
      </c>
      <c r="U120" s="1">
        <v>2</v>
      </c>
      <c r="W120" s="9">
        <f t="shared" si="24"/>
        <v>11.43</v>
      </c>
      <c r="X120" t="s">
        <v>312</v>
      </c>
      <c r="Y120" s="3">
        <f t="shared" si="19"/>
        <v>2</v>
      </c>
      <c r="Z120" s="3">
        <f t="shared" si="17"/>
        <v>0</v>
      </c>
      <c r="AA120" s="3">
        <f t="shared" si="20"/>
        <v>2</v>
      </c>
      <c r="AB120" s="34">
        <f t="shared" si="21"/>
        <v>0</v>
      </c>
      <c r="AC120" s="34">
        <f t="shared" si="22"/>
        <v>2</v>
      </c>
      <c r="AD120" s="35">
        <f t="shared" si="18"/>
        <v>0</v>
      </c>
      <c r="AE120" s="35">
        <f t="shared" si="23"/>
        <v>1</v>
      </c>
    </row>
    <row r="121" spans="1:31" x14ac:dyDescent="0.2">
      <c r="A121" s="3" t="s">
        <v>164</v>
      </c>
      <c r="B121">
        <v>3.44662487088037</v>
      </c>
      <c r="C121">
        <v>-76.540197485957293</v>
      </c>
      <c r="D121" t="s">
        <v>351</v>
      </c>
      <c r="E121" s="3" t="s">
        <v>251</v>
      </c>
      <c r="F121" s="1" t="s">
        <v>260</v>
      </c>
      <c r="G121" s="1" t="s">
        <v>20</v>
      </c>
      <c r="H121" s="1" t="s">
        <v>253</v>
      </c>
      <c r="I121" s="1" t="s">
        <v>20</v>
      </c>
      <c r="J121" s="1" t="s">
        <v>253</v>
      </c>
      <c r="K121" s="1" t="s">
        <v>211</v>
      </c>
      <c r="L121" s="1" t="s">
        <v>21</v>
      </c>
      <c r="M121" s="1" t="s">
        <v>22</v>
      </c>
      <c r="N121" s="1"/>
      <c r="O121" s="6" t="s">
        <v>343</v>
      </c>
      <c r="P121" s="1" t="s">
        <v>28</v>
      </c>
      <c r="Q121" s="1"/>
      <c r="R121" s="1">
        <v>2</v>
      </c>
      <c r="S121" s="1" t="s">
        <v>238</v>
      </c>
      <c r="T121" s="2">
        <v>32.89</v>
      </c>
      <c r="U121" s="1">
        <v>3</v>
      </c>
      <c r="W121" s="9">
        <f t="shared" si="24"/>
        <v>20.89</v>
      </c>
      <c r="X121" t="s">
        <v>313</v>
      </c>
      <c r="Y121" s="3">
        <f t="shared" si="19"/>
        <v>4</v>
      </c>
      <c r="Z121" s="3">
        <f t="shared" si="17"/>
        <v>0</v>
      </c>
      <c r="AA121" s="3">
        <f t="shared" si="20"/>
        <v>4</v>
      </c>
      <c r="AB121" s="34">
        <f t="shared" si="21"/>
        <v>0</v>
      </c>
      <c r="AC121" s="34">
        <f t="shared" si="22"/>
        <v>4</v>
      </c>
      <c r="AD121" s="35">
        <f t="shared" si="18"/>
        <v>0</v>
      </c>
      <c r="AE121" s="35">
        <f t="shared" si="23"/>
        <v>1</v>
      </c>
    </row>
    <row r="122" spans="1:31" x14ac:dyDescent="0.2">
      <c r="A122" s="3" t="s">
        <v>165</v>
      </c>
      <c r="B122">
        <v>3.4487934098258801</v>
      </c>
      <c r="C122">
        <v>-76.537775032878699</v>
      </c>
      <c r="D122" t="s">
        <v>351</v>
      </c>
      <c r="E122" s="3" t="s">
        <v>251</v>
      </c>
      <c r="F122" s="1" t="s">
        <v>257</v>
      </c>
      <c r="G122" s="1" t="s">
        <v>20</v>
      </c>
      <c r="H122" s="1" t="s">
        <v>255</v>
      </c>
      <c r="I122" s="1" t="s">
        <v>20</v>
      </c>
      <c r="J122" s="1" t="s">
        <v>257</v>
      </c>
      <c r="K122" s="1" t="s">
        <v>218</v>
      </c>
      <c r="L122" s="1" t="s">
        <v>29</v>
      </c>
      <c r="M122" s="1" t="s">
        <v>245</v>
      </c>
      <c r="N122" s="1"/>
      <c r="O122" s="6" t="s">
        <v>343</v>
      </c>
      <c r="P122" s="1" t="s">
        <v>28</v>
      </c>
      <c r="Q122" s="1"/>
      <c r="R122" s="1">
        <v>2</v>
      </c>
      <c r="S122" s="1" t="s">
        <v>238</v>
      </c>
      <c r="T122" s="2">
        <v>54.18</v>
      </c>
      <c r="U122" s="1">
        <v>1</v>
      </c>
      <c r="W122" s="9">
        <f t="shared" si="24"/>
        <v>50.18</v>
      </c>
      <c r="X122" t="s">
        <v>314</v>
      </c>
      <c r="Y122" s="3">
        <f t="shared" si="19"/>
        <v>10</v>
      </c>
      <c r="Z122" s="3">
        <f t="shared" si="17"/>
        <v>0</v>
      </c>
      <c r="AA122" s="3">
        <f t="shared" si="20"/>
        <v>10</v>
      </c>
      <c r="AB122" s="34">
        <f t="shared" si="21"/>
        <v>0</v>
      </c>
      <c r="AC122" s="34">
        <f t="shared" si="22"/>
        <v>10</v>
      </c>
      <c r="AD122" s="35">
        <f t="shared" si="18"/>
        <v>0</v>
      </c>
      <c r="AE122" s="35">
        <f t="shared" si="23"/>
        <v>1</v>
      </c>
    </row>
    <row r="123" spans="1:31" x14ac:dyDescent="0.2">
      <c r="A123" s="3" t="s">
        <v>166</v>
      </c>
      <c r="B123">
        <v>3.4480886793805499</v>
      </c>
      <c r="C123">
        <v>-76.541101378063601</v>
      </c>
      <c r="D123" t="s">
        <v>351</v>
      </c>
      <c r="E123" s="3" t="s">
        <v>20</v>
      </c>
      <c r="F123" s="1" t="s">
        <v>256</v>
      </c>
      <c r="G123" s="1" t="s">
        <v>251</v>
      </c>
      <c r="H123" s="1" t="s">
        <v>30</v>
      </c>
      <c r="I123" s="6" t="s">
        <v>20</v>
      </c>
      <c r="J123" s="1">
        <v>1</v>
      </c>
      <c r="K123" s="1" t="s">
        <v>224</v>
      </c>
      <c r="L123" s="6" t="s">
        <v>21</v>
      </c>
      <c r="M123" s="1" t="s">
        <v>28</v>
      </c>
      <c r="N123" s="1"/>
      <c r="O123" s="6" t="s">
        <v>343</v>
      </c>
      <c r="P123" s="1" t="s">
        <v>28</v>
      </c>
      <c r="Q123" s="1"/>
      <c r="R123" s="1">
        <v>2</v>
      </c>
      <c r="S123" s="1" t="s">
        <v>224</v>
      </c>
      <c r="T123" s="2">
        <v>82.3</v>
      </c>
      <c r="U123" s="1">
        <v>2</v>
      </c>
      <c r="W123" s="9">
        <f t="shared" si="24"/>
        <v>74.3</v>
      </c>
      <c r="X123" t="s">
        <v>278</v>
      </c>
      <c r="Y123" s="3">
        <f t="shared" si="19"/>
        <v>14</v>
      </c>
      <c r="Z123" s="3">
        <f t="shared" si="17"/>
        <v>1</v>
      </c>
      <c r="AA123" s="3">
        <f t="shared" si="20"/>
        <v>13</v>
      </c>
      <c r="AB123" s="34">
        <f t="shared" si="21"/>
        <v>5</v>
      </c>
      <c r="AC123" s="34">
        <f t="shared" si="22"/>
        <v>13</v>
      </c>
      <c r="AD123" s="35">
        <f t="shared" si="18"/>
        <v>0.27777777777777779</v>
      </c>
      <c r="AE123" s="35">
        <f t="shared" si="23"/>
        <v>0.72222222222222221</v>
      </c>
    </row>
    <row r="124" spans="1:31" x14ac:dyDescent="0.2">
      <c r="A124" s="3" t="s">
        <v>167</v>
      </c>
      <c r="B124">
        <v>3.44798390601265</v>
      </c>
      <c r="C124">
        <v>-76.541274527806294</v>
      </c>
      <c r="D124" t="s">
        <v>351</v>
      </c>
      <c r="E124" s="5" t="s">
        <v>251</v>
      </c>
      <c r="F124" s="6" t="s">
        <v>30</v>
      </c>
      <c r="G124" s="6" t="s">
        <v>20</v>
      </c>
      <c r="H124" s="6" t="s">
        <v>344</v>
      </c>
      <c r="I124" s="6" t="s">
        <v>20</v>
      </c>
      <c r="J124" s="1">
        <v>1</v>
      </c>
      <c r="K124" s="1" t="s">
        <v>224</v>
      </c>
      <c r="L124" s="6" t="s">
        <v>29</v>
      </c>
      <c r="M124" s="1" t="s">
        <v>22</v>
      </c>
      <c r="N124" s="1"/>
      <c r="O124" s="6" t="s">
        <v>345</v>
      </c>
      <c r="P124" s="1" t="s">
        <v>28</v>
      </c>
      <c r="Q124" s="1"/>
      <c r="R124" s="1">
        <v>2</v>
      </c>
      <c r="S124" s="1" t="s">
        <v>224</v>
      </c>
      <c r="T124" s="2">
        <v>89.25</v>
      </c>
      <c r="U124" s="1">
        <v>3</v>
      </c>
      <c r="W124" s="9">
        <f t="shared" si="24"/>
        <v>77.25</v>
      </c>
      <c r="X124" t="s">
        <v>278</v>
      </c>
      <c r="Y124" s="3">
        <f t="shared" si="19"/>
        <v>15</v>
      </c>
      <c r="Z124" s="3">
        <f t="shared" si="17"/>
        <v>1</v>
      </c>
      <c r="AA124" s="3">
        <f t="shared" si="20"/>
        <v>14</v>
      </c>
      <c r="AB124" s="34">
        <f t="shared" si="21"/>
        <v>5</v>
      </c>
      <c r="AC124" s="34">
        <f t="shared" si="22"/>
        <v>14</v>
      </c>
      <c r="AD124" s="35">
        <f t="shared" si="18"/>
        <v>0.26315789473684209</v>
      </c>
      <c r="AE124" s="35">
        <f t="shared" si="23"/>
        <v>0.73684210526315785</v>
      </c>
    </row>
    <row r="125" spans="1:31" x14ac:dyDescent="0.2">
      <c r="A125" s="3" t="s">
        <v>168</v>
      </c>
      <c r="B125">
        <v>3.44653935457334</v>
      </c>
      <c r="C125">
        <v>-76.540513043271204</v>
      </c>
      <c r="D125" t="s">
        <v>351</v>
      </c>
      <c r="E125" s="3" t="s">
        <v>251</v>
      </c>
      <c r="F125" s="1" t="s">
        <v>260</v>
      </c>
      <c r="G125" s="1" t="s">
        <v>20</v>
      </c>
      <c r="H125" s="1" t="s">
        <v>256</v>
      </c>
      <c r="I125" s="1" t="s">
        <v>251</v>
      </c>
      <c r="J125" s="1" t="s">
        <v>262</v>
      </c>
      <c r="K125" s="1" t="s">
        <v>211</v>
      </c>
      <c r="L125" s="1" t="s">
        <v>29</v>
      </c>
      <c r="M125" s="1" t="s">
        <v>245</v>
      </c>
      <c r="N125" s="1"/>
      <c r="O125" s="6" t="s">
        <v>343</v>
      </c>
      <c r="P125" s="1" t="s">
        <v>28</v>
      </c>
      <c r="Q125" s="1"/>
      <c r="R125" s="1">
        <v>2</v>
      </c>
      <c r="S125" s="1" t="s">
        <v>238</v>
      </c>
      <c r="T125" s="2">
        <v>32.89</v>
      </c>
      <c r="U125" s="1">
        <v>5</v>
      </c>
      <c r="W125" s="9">
        <f t="shared" si="24"/>
        <v>12.89</v>
      </c>
      <c r="X125" t="s">
        <v>342</v>
      </c>
      <c r="Y125" s="3">
        <f t="shared" si="19"/>
        <v>2</v>
      </c>
      <c r="Z125" s="3">
        <f t="shared" si="17"/>
        <v>0</v>
      </c>
      <c r="AA125" s="3">
        <f t="shared" si="20"/>
        <v>2</v>
      </c>
      <c r="AB125" s="34">
        <f t="shared" si="21"/>
        <v>0</v>
      </c>
      <c r="AC125" s="34">
        <f t="shared" si="22"/>
        <v>2</v>
      </c>
      <c r="AD125" s="35">
        <f t="shared" si="18"/>
        <v>0</v>
      </c>
      <c r="AE125" s="35">
        <f t="shared" si="23"/>
        <v>1</v>
      </c>
    </row>
    <row r="126" spans="1:31" x14ac:dyDescent="0.2">
      <c r="A126" s="3" t="s">
        <v>169</v>
      </c>
      <c r="B126">
        <v>3.44623558616899</v>
      </c>
      <c r="C126">
        <v>-76.540072115573196</v>
      </c>
      <c r="D126" t="s">
        <v>351</v>
      </c>
      <c r="E126" s="3" t="s">
        <v>20</v>
      </c>
      <c r="F126" s="1" t="s">
        <v>253</v>
      </c>
      <c r="G126" s="1" t="s">
        <v>251</v>
      </c>
      <c r="H126" s="1" t="s">
        <v>262</v>
      </c>
      <c r="I126" s="1" t="s">
        <v>251</v>
      </c>
      <c r="J126" s="1" t="s">
        <v>260</v>
      </c>
      <c r="K126" s="1" t="s">
        <v>229</v>
      </c>
      <c r="L126" s="1" t="s">
        <v>29</v>
      </c>
      <c r="M126" s="1" t="s">
        <v>247</v>
      </c>
      <c r="N126" s="1"/>
      <c r="O126" s="6" t="s">
        <v>343</v>
      </c>
      <c r="P126" s="1" t="s">
        <v>28</v>
      </c>
      <c r="Q126" s="1"/>
      <c r="R126" s="1">
        <v>2</v>
      </c>
      <c r="S126" s="1" t="s">
        <v>238</v>
      </c>
      <c r="T126" s="2">
        <v>53.57</v>
      </c>
      <c r="U126" s="1">
        <v>2</v>
      </c>
      <c r="W126" s="9">
        <f t="shared" si="24"/>
        <v>45.57</v>
      </c>
      <c r="X126" t="s">
        <v>279</v>
      </c>
      <c r="Y126" s="3">
        <f t="shared" si="19"/>
        <v>9</v>
      </c>
      <c r="Z126" s="3">
        <f t="shared" si="17"/>
        <v>0</v>
      </c>
      <c r="AA126" s="3">
        <f t="shared" si="20"/>
        <v>9</v>
      </c>
      <c r="AB126" s="34">
        <f t="shared" si="21"/>
        <v>0</v>
      </c>
      <c r="AC126" s="34">
        <f t="shared" si="22"/>
        <v>9</v>
      </c>
      <c r="AD126" s="35">
        <f t="shared" si="18"/>
        <v>0</v>
      </c>
      <c r="AE126" s="35">
        <f t="shared" si="23"/>
        <v>1</v>
      </c>
    </row>
    <row r="127" spans="1:31" x14ac:dyDescent="0.2">
      <c r="A127" s="3" t="s">
        <v>170</v>
      </c>
      <c r="B127">
        <v>3.445979366913611</v>
      </c>
      <c r="C127">
        <v>-76.540513031607006</v>
      </c>
      <c r="D127" t="s">
        <v>351</v>
      </c>
      <c r="E127" s="3" t="s">
        <v>251</v>
      </c>
      <c r="F127" s="1" t="s">
        <v>262</v>
      </c>
      <c r="G127" s="1" t="s">
        <v>251</v>
      </c>
      <c r="H127" s="1" t="s">
        <v>260</v>
      </c>
      <c r="I127" s="1" t="s">
        <v>251</v>
      </c>
      <c r="J127" s="1" t="s">
        <v>346</v>
      </c>
      <c r="K127" s="1" t="s">
        <v>218</v>
      </c>
      <c r="L127" s="1" t="s">
        <v>29</v>
      </c>
      <c r="M127" s="1" t="s">
        <v>247</v>
      </c>
      <c r="N127" s="1"/>
      <c r="O127" s="6" t="s">
        <v>343</v>
      </c>
      <c r="P127" s="1" t="s">
        <v>27</v>
      </c>
      <c r="Q127" s="1"/>
      <c r="R127" s="1">
        <v>2</v>
      </c>
      <c r="S127" s="1" t="s">
        <v>238</v>
      </c>
      <c r="T127" s="2">
        <v>88.32</v>
      </c>
      <c r="U127" s="1">
        <v>1</v>
      </c>
      <c r="W127" s="9">
        <f t="shared" si="24"/>
        <v>84.32</v>
      </c>
      <c r="X127" t="s">
        <v>315</v>
      </c>
      <c r="Y127" s="3">
        <f t="shared" si="19"/>
        <v>16</v>
      </c>
      <c r="Z127" s="3">
        <f t="shared" si="17"/>
        <v>1</v>
      </c>
      <c r="AA127" s="3">
        <f t="shared" si="20"/>
        <v>15</v>
      </c>
      <c r="AB127" s="34">
        <f t="shared" si="21"/>
        <v>5</v>
      </c>
      <c r="AC127" s="34">
        <f t="shared" si="22"/>
        <v>15</v>
      </c>
      <c r="AD127" s="35">
        <f t="shared" si="18"/>
        <v>0.25</v>
      </c>
      <c r="AE127" s="35">
        <f t="shared" si="23"/>
        <v>0.75</v>
      </c>
    </row>
    <row r="128" spans="1:31" x14ac:dyDescent="0.2">
      <c r="A128" s="3" t="s">
        <v>171</v>
      </c>
      <c r="B128">
        <v>3.4474649759841389</v>
      </c>
      <c r="C128">
        <v>-76.5393837864804</v>
      </c>
      <c r="D128" t="s">
        <v>351</v>
      </c>
      <c r="E128" s="3" t="s">
        <v>251</v>
      </c>
      <c r="F128" s="1" t="s">
        <v>263</v>
      </c>
      <c r="G128" s="1" t="s">
        <v>251</v>
      </c>
      <c r="H128" s="1" t="s">
        <v>257</v>
      </c>
      <c r="I128" s="1" t="s">
        <v>251</v>
      </c>
      <c r="J128" s="1" t="s">
        <v>261</v>
      </c>
      <c r="K128" s="1" t="s">
        <v>211</v>
      </c>
      <c r="L128" s="6" t="s">
        <v>29</v>
      </c>
      <c r="M128" s="1" t="s">
        <v>22</v>
      </c>
      <c r="N128" s="1"/>
      <c r="O128" s="6" t="s">
        <v>343</v>
      </c>
      <c r="P128" s="1" t="s">
        <v>28</v>
      </c>
      <c r="Q128" s="1"/>
      <c r="R128" s="1">
        <v>2</v>
      </c>
      <c r="S128" s="1" t="s">
        <v>238</v>
      </c>
      <c r="T128" s="2">
        <v>26.83</v>
      </c>
      <c r="U128" s="1">
        <v>3</v>
      </c>
      <c r="W128" s="9">
        <f t="shared" si="24"/>
        <v>14.829999999999998</v>
      </c>
      <c r="X128" t="s">
        <v>316</v>
      </c>
      <c r="Y128" s="3">
        <f t="shared" si="19"/>
        <v>2</v>
      </c>
      <c r="Z128" s="3">
        <f t="shared" si="17"/>
        <v>0</v>
      </c>
      <c r="AA128" s="3">
        <f t="shared" si="20"/>
        <v>2</v>
      </c>
      <c r="AB128" s="34">
        <f t="shared" si="21"/>
        <v>0</v>
      </c>
      <c r="AC128" s="34">
        <f t="shared" si="22"/>
        <v>2</v>
      </c>
      <c r="AD128" s="35">
        <f t="shared" si="18"/>
        <v>0</v>
      </c>
      <c r="AE128" s="35">
        <f t="shared" si="23"/>
        <v>1</v>
      </c>
    </row>
    <row r="129" spans="1:31" x14ac:dyDescent="0.2">
      <c r="A129" s="3" t="s">
        <v>172</v>
      </c>
      <c r="B129">
        <v>3.44722933689471</v>
      </c>
      <c r="C129">
        <v>-76.538873843532798</v>
      </c>
      <c r="D129" t="s">
        <v>351</v>
      </c>
      <c r="E129" s="3" t="s">
        <v>20</v>
      </c>
      <c r="F129" s="1" t="s">
        <v>254</v>
      </c>
      <c r="G129" s="1" t="s">
        <v>251</v>
      </c>
      <c r="H129" s="1" t="s">
        <v>263</v>
      </c>
      <c r="I129" s="1" t="s">
        <v>251</v>
      </c>
      <c r="J129" s="1" t="s">
        <v>261</v>
      </c>
      <c r="K129" s="1" t="s">
        <v>233</v>
      </c>
      <c r="L129" s="1" t="s">
        <v>29</v>
      </c>
      <c r="M129" s="1"/>
      <c r="N129" s="6" t="s">
        <v>24</v>
      </c>
      <c r="O129" s="6" t="s">
        <v>343</v>
      </c>
      <c r="P129" s="1" t="s">
        <v>23</v>
      </c>
      <c r="Q129" s="1"/>
      <c r="R129" s="1">
        <v>2</v>
      </c>
      <c r="S129" s="1" t="s">
        <v>238</v>
      </c>
      <c r="T129" s="2">
        <v>59.7</v>
      </c>
      <c r="U129" s="1">
        <v>2</v>
      </c>
      <c r="W129" s="9">
        <f t="shared" si="24"/>
        <v>51.7</v>
      </c>
      <c r="X129" t="s">
        <v>280</v>
      </c>
      <c r="Y129" s="3">
        <f t="shared" si="19"/>
        <v>10</v>
      </c>
      <c r="Z129" s="3">
        <f t="shared" si="17"/>
        <v>0</v>
      </c>
      <c r="AA129" s="3">
        <f t="shared" si="20"/>
        <v>10</v>
      </c>
      <c r="AB129" s="34">
        <f t="shared" si="21"/>
        <v>0</v>
      </c>
      <c r="AC129" s="34">
        <f t="shared" si="22"/>
        <v>10</v>
      </c>
      <c r="AD129" s="35">
        <f t="shared" si="18"/>
        <v>0</v>
      </c>
      <c r="AE129" s="35">
        <f t="shared" si="23"/>
        <v>1</v>
      </c>
    </row>
    <row r="130" spans="1:31" x14ac:dyDescent="0.2">
      <c r="A130" s="3" t="s">
        <v>173</v>
      </c>
      <c r="B130">
        <v>3.4469230727319302</v>
      </c>
      <c r="C130">
        <v>-76.539383775828895</v>
      </c>
      <c r="D130" t="s">
        <v>351</v>
      </c>
      <c r="E130" s="3" t="s">
        <v>251</v>
      </c>
      <c r="F130" s="1" t="s">
        <v>261</v>
      </c>
      <c r="G130" s="1" t="s">
        <v>251</v>
      </c>
      <c r="H130" s="1" t="s">
        <v>263</v>
      </c>
      <c r="I130" s="1" t="s">
        <v>251</v>
      </c>
      <c r="J130" s="1" t="s">
        <v>260</v>
      </c>
      <c r="K130" s="1" t="s">
        <v>218</v>
      </c>
      <c r="L130" s="6" t="s">
        <v>29</v>
      </c>
      <c r="M130" s="1" t="s">
        <v>28</v>
      </c>
      <c r="N130" s="1"/>
      <c r="O130" s="6" t="s">
        <v>343</v>
      </c>
      <c r="P130" s="1" t="s">
        <v>28</v>
      </c>
      <c r="Q130" s="1"/>
      <c r="R130" s="1">
        <v>2</v>
      </c>
      <c r="S130" s="1" t="s">
        <v>238</v>
      </c>
      <c r="T130" s="2">
        <v>101.78</v>
      </c>
      <c r="U130" s="1">
        <v>4</v>
      </c>
      <c r="W130" s="9">
        <f t="shared" si="24"/>
        <v>85.78</v>
      </c>
      <c r="X130" t="s">
        <v>317</v>
      </c>
      <c r="Y130" s="3">
        <f t="shared" si="19"/>
        <v>17</v>
      </c>
      <c r="Z130" s="3">
        <f t="shared" si="17"/>
        <v>1</v>
      </c>
      <c r="AA130" s="3">
        <f t="shared" si="20"/>
        <v>16</v>
      </c>
      <c r="AB130" s="34">
        <f t="shared" si="21"/>
        <v>5</v>
      </c>
      <c r="AC130" s="34">
        <f t="shared" si="22"/>
        <v>16</v>
      </c>
      <c r="AD130" s="35">
        <f t="shared" si="18"/>
        <v>0.23809523809523808</v>
      </c>
      <c r="AE130" s="35">
        <f t="shared" si="23"/>
        <v>0.76190476190476186</v>
      </c>
    </row>
    <row r="131" spans="1:31" x14ac:dyDescent="0.2">
      <c r="A131" s="3" t="s">
        <v>174</v>
      </c>
      <c r="B131">
        <v>3.44722931668294</v>
      </c>
      <c r="C131">
        <v>-76.539893720163903</v>
      </c>
      <c r="D131" t="s">
        <v>351</v>
      </c>
      <c r="E131" s="3" t="s">
        <v>20</v>
      </c>
      <c r="F131" s="1" t="s">
        <v>253</v>
      </c>
      <c r="G131" s="1" t="s">
        <v>251</v>
      </c>
      <c r="H131" s="1" t="s">
        <v>263</v>
      </c>
      <c r="I131" s="1" t="s">
        <v>20</v>
      </c>
      <c r="J131" s="1" t="s">
        <v>256</v>
      </c>
      <c r="K131" s="1" t="s">
        <v>229</v>
      </c>
      <c r="L131" s="1" t="s">
        <v>21</v>
      </c>
      <c r="M131" s="1" t="s">
        <v>22</v>
      </c>
      <c r="N131" s="1"/>
      <c r="O131" s="6" t="s">
        <v>343</v>
      </c>
      <c r="P131" s="1" t="s">
        <v>28</v>
      </c>
      <c r="Q131" s="1"/>
      <c r="R131" s="1">
        <v>2</v>
      </c>
      <c r="S131" s="1" t="s">
        <v>238</v>
      </c>
      <c r="T131" s="2">
        <v>39.74</v>
      </c>
      <c r="U131" s="1">
        <v>1</v>
      </c>
      <c r="W131" s="9">
        <f t="shared" si="24"/>
        <v>35.74</v>
      </c>
      <c r="X131" t="s">
        <v>281</v>
      </c>
      <c r="Y131" s="3">
        <f t="shared" si="19"/>
        <v>7</v>
      </c>
      <c r="Z131" s="3">
        <f t="shared" ref="Z131:Z194" si="25">ROUND(Y131*$AI$8,0)</f>
        <v>0</v>
      </c>
      <c r="AA131" s="3">
        <f t="shared" si="20"/>
        <v>7</v>
      </c>
      <c r="AB131" s="34">
        <f t="shared" si="21"/>
        <v>0</v>
      </c>
      <c r="AC131" s="34">
        <f t="shared" si="22"/>
        <v>7</v>
      </c>
      <c r="AD131" s="35">
        <f t="shared" si="18"/>
        <v>0</v>
      </c>
      <c r="AE131" s="35">
        <f t="shared" si="23"/>
        <v>1</v>
      </c>
    </row>
    <row r="132" spans="1:31" x14ac:dyDescent="0.2">
      <c r="A132" s="3" t="s">
        <v>175</v>
      </c>
      <c r="B132">
        <v>3.44671200300139</v>
      </c>
      <c r="C132">
        <v>-76.541799191056498</v>
      </c>
      <c r="D132" t="s">
        <v>351</v>
      </c>
      <c r="E132" s="3" t="s">
        <v>251</v>
      </c>
      <c r="F132" s="1" t="s">
        <v>260</v>
      </c>
      <c r="G132" s="1" t="s">
        <v>251</v>
      </c>
      <c r="H132" s="1" t="s">
        <v>260</v>
      </c>
      <c r="I132" s="1" t="s">
        <v>251</v>
      </c>
      <c r="J132" s="1" t="s">
        <v>262</v>
      </c>
      <c r="K132" s="1" t="s">
        <v>211</v>
      </c>
      <c r="L132" s="1" t="s">
        <v>29</v>
      </c>
      <c r="M132" s="1" t="s">
        <v>245</v>
      </c>
      <c r="N132" s="1"/>
      <c r="O132" s="6" t="s">
        <v>343</v>
      </c>
      <c r="P132" s="1" t="s">
        <v>28</v>
      </c>
      <c r="Q132" s="1"/>
      <c r="R132" s="1">
        <v>2</v>
      </c>
      <c r="S132" s="1" t="s">
        <v>238</v>
      </c>
      <c r="T132" s="2">
        <v>180.2</v>
      </c>
      <c r="U132" s="1">
        <v>3</v>
      </c>
      <c r="W132" s="9">
        <f t="shared" si="24"/>
        <v>168.2</v>
      </c>
      <c r="X132" t="s">
        <v>318</v>
      </c>
      <c r="Y132" s="3">
        <f t="shared" si="19"/>
        <v>33</v>
      </c>
      <c r="Z132" s="3">
        <f t="shared" si="25"/>
        <v>2</v>
      </c>
      <c r="AA132" s="3">
        <f t="shared" si="20"/>
        <v>31</v>
      </c>
      <c r="AB132" s="34">
        <f t="shared" si="21"/>
        <v>10</v>
      </c>
      <c r="AC132" s="34">
        <f t="shared" si="22"/>
        <v>31</v>
      </c>
      <c r="AD132" s="35">
        <f t="shared" si="18"/>
        <v>0.24390243902439024</v>
      </c>
      <c r="AE132" s="35">
        <f t="shared" si="23"/>
        <v>0.75609756097560976</v>
      </c>
    </row>
    <row r="133" spans="1:31" x14ac:dyDescent="0.2">
      <c r="A133" s="3" t="s">
        <v>176</v>
      </c>
      <c r="B133">
        <v>3.4462114962732802</v>
      </c>
      <c r="C133">
        <v>-76.541799179958602</v>
      </c>
      <c r="D133" t="s">
        <v>351</v>
      </c>
      <c r="E133" s="3" t="s">
        <v>251</v>
      </c>
      <c r="F133" s="1" t="s">
        <v>262</v>
      </c>
      <c r="G133" s="1" t="s">
        <v>251</v>
      </c>
      <c r="H133" s="1" t="s">
        <v>260</v>
      </c>
      <c r="I133" s="1" t="s">
        <v>20</v>
      </c>
      <c r="J133" s="1" t="s">
        <v>253</v>
      </c>
      <c r="K133" s="1" t="s">
        <v>218</v>
      </c>
      <c r="L133" s="1" t="s">
        <v>29</v>
      </c>
      <c r="M133" s="1" t="s">
        <v>22</v>
      </c>
      <c r="N133" s="1"/>
      <c r="O133" s="6" t="s">
        <v>343</v>
      </c>
      <c r="P133" s="1" t="s">
        <v>28</v>
      </c>
      <c r="Q133" s="1"/>
      <c r="R133" s="1">
        <v>2</v>
      </c>
      <c r="S133" s="1" t="s">
        <v>238</v>
      </c>
      <c r="T133" s="2">
        <v>116.29</v>
      </c>
      <c r="U133" s="1">
        <v>2</v>
      </c>
      <c r="W133" s="9">
        <f t="shared" si="24"/>
        <v>108.29</v>
      </c>
      <c r="X133" t="s">
        <v>319</v>
      </c>
      <c r="Y133" s="3">
        <f t="shared" si="19"/>
        <v>21</v>
      </c>
      <c r="Z133" s="3">
        <f t="shared" si="25"/>
        <v>1</v>
      </c>
      <c r="AA133" s="3">
        <f t="shared" si="20"/>
        <v>20</v>
      </c>
      <c r="AB133" s="34">
        <f t="shared" si="21"/>
        <v>5</v>
      </c>
      <c r="AC133" s="34">
        <f t="shared" si="22"/>
        <v>20</v>
      </c>
      <c r="AD133" s="35">
        <f t="shared" ref="AD133:AD168" si="26">AB133/(AB133+AC133)</f>
        <v>0.2</v>
      </c>
      <c r="AE133" s="35">
        <f t="shared" si="23"/>
        <v>0.8</v>
      </c>
    </row>
    <row r="134" spans="1:31" x14ac:dyDescent="0.2">
      <c r="A134" s="3" t="s">
        <v>177</v>
      </c>
      <c r="B134">
        <v>3.44647923710132</v>
      </c>
      <c r="C134">
        <v>-76.542455965093794</v>
      </c>
      <c r="D134" t="s">
        <v>351</v>
      </c>
      <c r="E134" s="3" t="s">
        <v>251</v>
      </c>
      <c r="F134" s="1" t="s">
        <v>260</v>
      </c>
      <c r="G134" s="1" t="s">
        <v>20</v>
      </c>
      <c r="H134" s="1" t="s">
        <v>347</v>
      </c>
      <c r="I134" s="1" t="s">
        <v>20</v>
      </c>
      <c r="J134" s="1" t="s">
        <v>254</v>
      </c>
      <c r="K134" s="1" t="s">
        <v>211</v>
      </c>
      <c r="L134" s="1" t="s">
        <v>21</v>
      </c>
      <c r="M134" s="1" t="s">
        <v>245</v>
      </c>
      <c r="N134" s="1"/>
      <c r="O134" s="6" t="s">
        <v>343</v>
      </c>
      <c r="P134" s="1" t="s">
        <v>28</v>
      </c>
      <c r="Q134" s="1"/>
      <c r="R134" s="1">
        <v>2</v>
      </c>
      <c r="S134" s="1" t="s">
        <v>238</v>
      </c>
      <c r="T134" s="2">
        <v>66.989999999999995</v>
      </c>
      <c r="U134" s="1">
        <v>1</v>
      </c>
      <c r="W134" s="9">
        <f t="shared" si="24"/>
        <v>62.989999999999995</v>
      </c>
      <c r="X134" t="s">
        <v>320</v>
      </c>
      <c r="Y134" s="3">
        <f t="shared" ref="Y134:Y168" si="27">_xlfn.FLOOR.MATH(W134/$AI$2)</f>
        <v>12</v>
      </c>
      <c r="Z134" s="3">
        <f t="shared" si="25"/>
        <v>1</v>
      </c>
      <c r="AA134" s="3">
        <f t="shared" ref="AA134:AA168" si="28">Y134-Z134</f>
        <v>11</v>
      </c>
      <c r="AB134" s="34">
        <f t="shared" ref="AB134:AB168" si="29">Z134*$AI$4</f>
        <v>5</v>
      </c>
      <c r="AC134" s="34">
        <f t="shared" ref="AC134:AC168" si="30">AA134*$AI$3</f>
        <v>11</v>
      </c>
      <c r="AD134" s="35">
        <f t="shared" si="26"/>
        <v>0.3125</v>
      </c>
      <c r="AE134" s="35">
        <f t="shared" ref="AE134:AE168" si="31">AC134/(AB134+AC134)</f>
        <v>0.6875</v>
      </c>
    </row>
    <row r="135" spans="1:31" x14ac:dyDescent="0.2">
      <c r="A135" s="3" t="s">
        <v>178</v>
      </c>
      <c r="B135">
        <v>3.44890447492357</v>
      </c>
      <c r="C135">
        <v>-76.5416872333154</v>
      </c>
      <c r="D135" t="s">
        <v>351</v>
      </c>
      <c r="E135" s="5" t="s">
        <v>251</v>
      </c>
      <c r="F135" s="1">
        <v>4</v>
      </c>
      <c r="G135" s="6" t="s">
        <v>20</v>
      </c>
      <c r="H135" s="6" t="s">
        <v>344</v>
      </c>
      <c r="I135" s="6" t="s">
        <v>20</v>
      </c>
      <c r="J135" s="1">
        <v>1</v>
      </c>
      <c r="K135" s="6" t="s">
        <v>218</v>
      </c>
      <c r="L135" s="6" t="s">
        <v>21</v>
      </c>
      <c r="M135" s="1" t="s">
        <v>28</v>
      </c>
      <c r="N135" s="1"/>
      <c r="O135" s="6" t="s">
        <v>343</v>
      </c>
      <c r="P135" s="1" t="s">
        <v>28</v>
      </c>
      <c r="Q135" s="1"/>
      <c r="R135" s="1">
        <v>2</v>
      </c>
      <c r="S135" s="1" t="s">
        <v>224</v>
      </c>
      <c r="T135" s="2">
        <v>23.4</v>
      </c>
      <c r="U135" s="1">
        <v>2</v>
      </c>
      <c r="W135" s="9">
        <f t="shared" si="24"/>
        <v>15.399999999999999</v>
      </c>
      <c r="X135" t="s">
        <v>282</v>
      </c>
      <c r="Y135" s="3">
        <f t="shared" si="27"/>
        <v>3</v>
      </c>
      <c r="Z135" s="3">
        <f t="shared" si="25"/>
        <v>0</v>
      </c>
      <c r="AA135" s="3">
        <f t="shared" si="28"/>
        <v>3</v>
      </c>
      <c r="AB135" s="34">
        <f t="shared" si="29"/>
        <v>0</v>
      </c>
      <c r="AC135" s="34">
        <f t="shared" si="30"/>
        <v>3</v>
      </c>
      <c r="AD135" s="35">
        <f t="shared" si="26"/>
        <v>0</v>
      </c>
      <c r="AE135" s="35">
        <f t="shared" si="31"/>
        <v>1</v>
      </c>
    </row>
    <row r="136" spans="1:31" x14ac:dyDescent="0.2">
      <c r="A136" s="3" t="s">
        <v>179</v>
      </c>
      <c r="B136">
        <v>3.448711624473269</v>
      </c>
      <c r="C136">
        <v>-76.541528242165597</v>
      </c>
      <c r="D136" t="s">
        <v>351</v>
      </c>
      <c r="E136" s="3" t="s">
        <v>20</v>
      </c>
      <c r="F136" s="1" t="s">
        <v>256</v>
      </c>
      <c r="G136" s="1" t="s">
        <v>251</v>
      </c>
      <c r="H136" s="1" t="s">
        <v>255</v>
      </c>
      <c r="I136" s="1" t="s">
        <v>251</v>
      </c>
      <c r="J136" s="1" t="s">
        <v>30</v>
      </c>
      <c r="K136" s="1" t="s">
        <v>224</v>
      </c>
      <c r="L136" s="6" t="s">
        <v>21</v>
      </c>
      <c r="M136" s="1" t="s">
        <v>22</v>
      </c>
      <c r="N136" s="1"/>
      <c r="O136" s="6" t="s">
        <v>343</v>
      </c>
      <c r="P136" s="1" t="s">
        <v>28</v>
      </c>
      <c r="Q136" s="1"/>
      <c r="R136" s="1">
        <v>2</v>
      </c>
      <c r="S136" s="1" t="s">
        <v>224</v>
      </c>
      <c r="T136" s="2">
        <v>39.28</v>
      </c>
      <c r="U136" s="1">
        <v>3</v>
      </c>
      <c r="W136" s="9">
        <f t="shared" si="24"/>
        <v>27.28</v>
      </c>
      <c r="X136" t="s">
        <v>283</v>
      </c>
      <c r="Y136" s="3">
        <f t="shared" si="27"/>
        <v>5</v>
      </c>
      <c r="Z136" s="3">
        <f t="shared" si="25"/>
        <v>0</v>
      </c>
      <c r="AA136" s="3">
        <f t="shared" si="28"/>
        <v>5</v>
      </c>
      <c r="AB136" s="34">
        <f t="shared" si="29"/>
        <v>0</v>
      </c>
      <c r="AC136" s="34">
        <f t="shared" si="30"/>
        <v>5</v>
      </c>
      <c r="AD136" s="35">
        <f t="shared" si="26"/>
        <v>0</v>
      </c>
      <c r="AE136" s="35">
        <f t="shared" si="31"/>
        <v>1</v>
      </c>
    </row>
    <row r="137" spans="1:31" x14ac:dyDescent="0.2">
      <c r="A137" s="3" t="s">
        <v>180</v>
      </c>
      <c r="B137">
        <v>3.4461798189103501</v>
      </c>
      <c r="C137">
        <v>-76.537238203299296</v>
      </c>
      <c r="D137" t="s">
        <v>351</v>
      </c>
      <c r="E137" s="3" t="s">
        <v>251</v>
      </c>
      <c r="F137" s="1" t="s">
        <v>260</v>
      </c>
      <c r="G137" s="1" t="s">
        <v>251</v>
      </c>
      <c r="H137" s="1" t="s">
        <v>262</v>
      </c>
      <c r="I137" s="1" t="s">
        <v>20</v>
      </c>
      <c r="J137" s="1" t="s">
        <v>257</v>
      </c>
      <c r="K137" s="1" t="s">
        <v>211</v>
      </c>
      <c r="L137" s="1" t="s">
        <v>29</v>
      </c>
      <c r="M137" s="1" t="s">
        <v>22</v>
      </c>
      <c r="N137" s="1"/>
      <c r="O137" s="6" t="s">
        <v>343</v>
      </c>
      <c r="P137" s="1" t="s">
        <v>28</v>
      </c>
      <c r="Q137" s="1"/>
      <c r="R137" s="1">
        <v>2</v>
      </c>
      <c r="S137" s="1" t="s">
        <v>238</v>
      </c>
      <c r="T137" s="2">
        <v>90.25</v>
      </c>
      <c r="U137" s="1">
        <v>0</v>
      </c>
      <c r="W137" s="9">
        <f t="shared" si="24"/>
        <v>90.25</v>
      </c>
      <c r="X137" t="s">
        <v>321</v>
      </c>
      <c r="Y137" s="3">
        <f t="shared" si="27"/>
        <v>18</v>
      </c>
      <c r="Z137" s="3">
        <f t="shared" si="25"/>
        <v>1</v>
      </c>
      <c r="AA137" s="3">
        <f t="shared" si="28"/>
        <v>17</v>
      </c>
      <c r="AB137" s="34">
        <f t="shared" si="29"/>
        <v>5</v>
      </c>
      <c r="AC137" s="34">
        <f t="shared" si="30"/>
        <v>17</v>
      </c>
      <c r="AD137" s="35">
        <f t="shared" si="26"/>
        <v>0.22727272727272727</v>
      </c>
      <c r="AE137" s="35">
        <f t="shared" si="31"/>
        <v>0.77272727272727271</v>
      </c>
    </row>
    <row r="138" spans="1:31" x14ac:dyDescent="0.2">
      <c r="A138" s="3" t="s">
        <v>181</v>
      </c>
      <c r="B138">
        <v>3.4455877255057201</v>
      </c>
      <c r="C138">
        <v>-76.537238192991893</v>
      </c>
      <c r="D138" t="s">
        <v>351</v>
      </c>
      <c r="E138" s="3" t="s">
        <v>251</v>
      </c>
      <c r="F138" s="1" t="s">
        <v>262</v>
      </c>
      <c r="G138" s="1" t="s">
        <v>251</v>
      </c>
      <c r="H138" s="1" t="s">
        <v>260</v>
      </c>
      <c r="I138" s="1" t="s">
        <v>20</v>
      </c>
      <c r="J138" s="1" t="s">
        <v>257</v>
      </c>
      <c r="K138" s="1" t="s">
        <v>218</v>
      </c>
      <c r="L138" s="1" t="s">
        <v>29</v>
      </c>
      <c r="N138" s="6" t="s">
        <v>24</v>
      </c>
      <c r="O138" s="6" t="s">
        <v>343</v>
      </c>
      <c r="P138" s="1" t="s">
        <v>27</v>
      </c>
      <c r="Q138" s="1"/>
      <c r="R138" s="1">
        <v>2</v>
      </c>
      <c r="S138" s="1" t="s">
        <v>238</v>
      </c>
      <c r="T138" s="2">
        <v>95.68</v>
      </c>
      <c r="U138" s="1">
        <v>1</v>
      </c>
      <c r="W138" s="9">
        <f t="shared" si="24"/>
        <v>91.68</v>
      </c>
      <c r="X138" t="s">
        <v>322</v>
      </c>
      <c r="Y138" s="3">
        <f t="shared" si="27"/>
        <v>18</v>
      </c>
      <c r="Z138" s="3">
        <f t="shared" si="25"/>
        <v>1</v>
      </c>
      <c r="AA138" s="3">
        <f t="shared" si="28"/>
        <v>17</v>
      </c>
      <c r="AB138" s="34">
        <f t="shared" si="29"/>
        <v>5</v>
      </c>
      <c r="AC138" s="34">
        <f t="shared" si="30"/>
        <v>17</v>
      </c>
      <c r="AD138" s="35">
        <f t="shared" si="26"/>
        <v>0.22727272727272727</v>
      </c>
      <c r="AE138" s="35">
        <f t="shared" si="31"/>
        <v>0.77272727272727271</v>
      </c>
    </row>
    <row r="139" spans="1:31" x14ac:dyDescent="0.2">
      <c r="A139" s="3" t="s">
        <v>182</v>
      </c>
      <c r="B139">
        <v>3.4458831133119201</v>
      </c>
      <c r="C139">
        <v>-76.537702625174106</v>
      </c>
      <c r="D139" t="s">
        <v>351</v>
      </c>
      <c r="E139" s="3" t="s">
        <v>20</v>
      </c>
      <c r="F139" s="1" t="s">
        <v>255</v>
      </c>
      <c r="G139" s="1" t="s">
        <v>251</v>
      </c>
      <c r="H139" s="1" t="s">
        <v>260</v>
      </c>
      <c r="I139" s="1" t="s">
        <v>251</v>
      </c>
      <c r="J139" s="1" t="s">
        <v>262</v>
      </c>
      <c r="K139" s="1" t="s">
        <v>229</v>
      </c>
      <c r="L139" s="1" t="s">
        <v>29</v>
      </c>
      <c r="N139" s="6" t="s">
        <v>24</v>
      </c>
      <c r="O139" s="6" t="s">
        <v>343</v>
      </c>
      <c r="P139" s="1" t="s">
        <v>28</v>
      </c>
      <c r="Q139" s="1"/>
      <c r="R139" s="1">
        <v>2</v>
      </c>
      <c r="S139" s="1" t="s">
        <v>238</v>
      </c>
      <c r="T139" s="2">
        <v>47.68</v>
      </c>
      <c r="U139" s="1">
        <v>2</v>
      </c>
      <c r="W139" s="9">
        <f t="shared" si="24"/>
        <v>39.68</v>
      </c>
      <c r="X139" t="s">
        <v>284</v>
      </c>
      <c r="Y139" s="3">
        <f t="shared" si="27"/>
        <v>7</v>
      </c>
      <c r="Z139" s="3">
        <f t="shared" si="25"/>
        <v>0</v>
      </c>
      <c r="AA139" s="3">
        <f t="shared" si="28"/>
        <v>7</v>
      </c>
      <c r="AB139" s="34">
        <f t="shared" si="29"/>
        <v>0</v>
      </c>
      <c r="AC139" s="34">
        <f t="shared" si="30"/>
        <v>7</v>
      </c>
      <c r="AD139" s="35">
        <f t="shared" si="26"/>
        <v>0</v>
      </c>
      <c r="AE139" s="35">
        <f t="shared" si="31"/>
        <v>1</v>
      </c>
    </row>
    <row r="140" spans="1:31" x14ac:dyDescent="0.2">
      <c r="A140" s="3" t="s">
        <v>183</v>
      </c>
      <c r="B140">
        <v>3.4487818663891989</v>
      </c>
      <c r="C140">
        <v>-76.537574853703703</v>
      </c>
      <c r="D140" t="s">
        <v>351</v>
      </c>
      <c r="E140" s="3" t="s">
        <v>251</v>
      </c>
      <c r="F140" s="1" t="s">
        <v>257</v>
      </c>
      <c r="G140" s="1" t="s">
        <v>251</v>
      </c>
      <c r="H140" s="1" t="s">
        <v>263</v>
      </c>
      <c r="I140" s="1" t="s">
        <v>20</v>
      </c>
      <c r="J140" s="1" t="s">
        <v>257</v>
      </c>
      <c r="K140" s="1" t="s">
        <v>218</v>
      </c>
      <c r="L140" s="1" t="s">
        <v>21</v>
      </c>
      <c r="M140" s="1" t="s">
        <v>28</v>
      </c>
      <c r="N140" s="6"/>
      <c r="O140" s="6" t="s">
        <v>343</v>
      </c>
      <c r="P140" s="1" t="s">
        <v>23</v>
      </c>
      <c r="Q140" s="1"/>
      <c r="R140" s="1">
        <v>2</v>
      </c>
      <c r="S140" s="1" t="s">
        <v>238</v>
      </c>
      <c r="T140" s="2">
        <v>51.66</v>
      </c>
      <c r="U140" s="1">
        <v>3</v>
      </c>
      <c r="W140" s="9">
        <f t="shared" si="24"/>
        <v>39.659999999999997</v>
      </c>
      <c r="X140" t="s">
        <v>323</v>
      </c>
      <c r="Y140" s="3">
        <f t="shared" si="27"/>
        <v>7</v>
      </c>
      <c r="Z140" s="3">
        <f t="shared" si="25"/>
        <v>0</v>
      </c>
      <c r="AA140" s="3">
        <f t="shared" si="28"/>
        <v>7</v>
      </c>
      <c r="AB140" s="34">
        <f t="shared" si="29"/>
        <v>0</v>
      </c>
      <c r="AC140" s="34">
        <f t="shared" si="30"/>
        <v>7</v>
      </c>
      <c r="AD140" s="35">
        <f t="shared" si="26"/>
        <v>0</v>
      </c>
      <c r="AE140" s="35">
        <f t="shared" si="31"/>
        <v>1</v>
      </c>
    </row>
    <row r="141" spans="1:31" x14ac:dyDescent="0.2">
      <c r="A141" s="3" t="s">
        <v>184</v>
      </c>
      <c r="B141">
        <v>3.44811809337883</v>
      </c>
      <c r="C141">
        <v>-76.537574841906505</v>
      </c>
      <c r="D141" t="s">
        <v>351</v>
      </c>
      <c r="E141" s="3" t="s">
        <v>251</v>
      </c>
      <c r="F141" s="1" t="s">
        <v>263</v>
      </c>
      <c r="G141" s="1" t="s">
        <v>251</v>
      </c>
      <c r="H141" s="1" t="s">
        <v>257</v>
      </c>
      <c r="I141" s="1" t="s">
        <v>20</v>
      </c>
      <c r="J141" s="1" t="s">
        <v>257</v>
      </c>
      <c r="K141" s="1" t="s">
        <v>211</v>
      </c>
      <c r="L141" s="6" t="s">
        <v>21</v>
      </c>
      <c r="M141" s="1" t="s">
        <v>28</v>
      </c>
      <c r="N141" s="1"/>
      <c r="O141" s="6" t="s">
        <v>343</v>
      </c>
      <c r="P141" s="1" t="s">
        <v>23</v>
      </c>
      <c r="Q141" s="1"/>
      <c r="R141" s="1">
        <v>2</v>
      </c>
      <c r="S141" s="1" t="s">
        <v>238</v>
      </c>
      <c r="T141" s="2">
        <v>72.98</v>
      </c>
      <c r="U141" s="1">
        <v>4</v>
      </c>
      <c r="W141" s="9">
        <f t="shared" si="24"/>
        <v>56.980000000000004</v>
      </c>
      <c r="X141" t="s">
        <v>324</v>
      </c>
      <c r="Y141" s="3">
        <f t="shared" si="27"/>
        <v>11</v>
      </c>
      <c r="Z141" s="3">
        <f t="shared" si="25"/>
        <v>1</v>
      </c>
      <c r="AA141" s="3">
        <f t="shared" si="28"/>
        <v>10</v>
      </c>
      <c r="AB141" s="34">
        <f t="shared" si="29"/>
        <v>5</v>
      </c>
      <c r="AC141" s="34">
        <f t="shared" si="30"/>
        <v>10</v>
      </c>
      <c r="AD141" s="35">
        <f t="shared" si="26"/>
        <v>0.33333333333333331</v>
      </c>
      <c r="AE141" s="35">
        <f t="shared" si="31"/>
        <v>0.66666666666666663</v>
      </c>
    </row>
    <row r="142" spans="1:31" x14ac:dyDescent="0.2">
      <c r="A142" s="3" t="s">
        <v>185</v>
      </c>
      <c r="B142">
        <v>3.4484538038552701</v>
      </c>
      <c r="C142">
        <v>-76.537925614730895</v>
      </c>
      <c r="D142" t="s">
        <v>351</v>
      </c>
      <c r="E142" s="3" t="s">
        <v>20</v>
      </c>
      <c r="F142" s="1" t="s">
        <v>255</v>
      </c>
      <c r="G142" s="1" t="s">
        <v>251</v>
      </c>
      <c r="H142" s="1" t="s">
        <v>263</v>
      </c>
      <c r="I142" s="1" t="s">
        <v>251</v>
      </c>
      <c r="J142" s="1" t="s">
        <v>263</v>
      </c>
      <c r="K142" s="1" t="s">
        <v>229</v>
      </c>
      <c r="L142" s="1" t="s">
        <v>29</v>
      </c>
      <c r="N142" s="6" t="s">
        <v>24</v>
      </c>
      <c r="O142" s="6" t="s">
        <v>343</v>
      </c>
      <c r="P142" s="1" t="s">
        <v>28</v>
      </c>
      <c r="Q142" s="1"/>
      <c r="R142" s="1">
        <v>2</v>
      </c>
      <c r="S142" s="1" t="s">
        <v>238</v>
      </c>
      <c r="T142" s="2">
        <v>54.57</v>
      </c>
      <c r="U142" s="1">
        <v>2</v>
      </c>
      <c r="W142" s="9">
        <f t="shared" si="24"/>
        <v>46.57</v>
      </c>
      <c r="X142" t="s">
        <v>285</v>
      </c>
      <c r="Y142" s="3">
        <f t="shared" si="27"/>
        <v>9</v>
      </c>
      <c r="Z142" s="3">
        <f t="shared" si="25"/>
        <v>0</v>
      </c>
      <c r="AA142" s="3">
        <f t="shared" si="28"/>
        <v>9</v>
      </c>
      <c r="AB142" s="34">
        <f t="shared" si="29"/>
        <v>0</v>
      </c>
      <c r="AC142" s="34">
        <f t="shared" si="30"/>
        <v>9</v>
      </c>
      <c r="AD142" s="35">
        <f t="shared" si="26"/>
        <v>0</v>
      </c>
      <c r="AE142" s="35">
        <f t="shared" si="31"/>
        <v>1</v>
      </c>
    </row>
    <row r="143" spans="1:31" x14ac:dyDescent="0.2">
      <c r="A143" s="3" t="s">
        <v>186</v>
      </c>
      <c r="B143">
        <v>3.4468582850495202</v>
      </c>
      <c r="C143">
        <v>-76.538292498388799</v>
      </c>
      <c r="D143" t="s">
        <v>351</v>
      </c>
      <c r="E143" s="3" t="s">
        <v>251</v>
      </c>
      <c r="F143" s="1" t="s">
        <v>261</v>
      </c>
      <c r="G143" s="1" t="s">
        <v>251</v>
      </c>
      <c r="H143" s="1" t="s">
        <v>260</v>
      </c>
      <c r="I143" s="1" t="s">
        <v>20</v>
      </c>
      <c r="J143" s="1" t="s">
        <v>255</v>
      </c>
      <c r="K143" s="1" t="s">
        <v>218</v>
      </c>
      <c r="L143" s="6" t="s">
        <v>21</v>
      </c>
      <c r="M143" s="1" t="s">
        <v>247</v>
      </c>
      <c r="N143" s="1"/>
      <c r="O143" s="6" t="s">
        <v>343</v>
      </c>
      <c r="P143" s="1" t="s">
        <v>28</v>
      </c>
      <c r="Q143" s="1"/>
      <c r="R143" s="1">
        <v>2</v>
      </c>
      <c r="S143" s="1" t="s">
        <v>238</v>
      </c>
      <c r="T143" s="2">
        <v>80.010000000000005</v>
      </c>
      <c r="U143" s="1">
        <v>1</v>
      </c>
      <c r="W143" s="9">
        <f t="shared" si="24"/>
        <v>76.010000000000005</v>
      </c>
      <c r="X143" t="s">
        <v>325</v>
      </c>
      <c r="Y143" s="3">
        <f t="shared" si="27"/>
        <v>15</v>
      </c>
      <c r="Z143" s="3">
        <f t="shared" si="25"/>
        <v>1</v>
      </c>
      <c r="AA143" s="3">
        <f t="shared" si="28"/>
        <v>14</v>
      </c>
      <c r="AB143" s="34">
        <f t="shared" si="29"/>
        <v>5</v>
      </c>
      <c r="AC143" s="34">
        <f t="shared" si="30"/>
        <v>14</v>
      </c>
      <c r="AD143" s="35">
        <f t="shared" si="26"/>
        <v>0.26315789473684209</v>
      </c>
      <c r="AE143" s="35">
        <f t="shared" si="31"/>
        <v>0.73684210526315785</v>
      </c>
    </row>
    <row r="144" spans="1:31" x14ac:dyDescent="0.2">
      <c r="A144" s="3" t="s">
        <v>187</v>
      </c>
      <c r="B144">
        <v>3.4466016446546699</v>
      </c>
      <c r="C144">
        <v>-76.537877229958795</v>
      </c>
      <c r="D144" t="s">
        <v>351</v>
      </c>
      <c r="E144" s="3" t="s">
        <v>20</v>
      </c>
      <c r="F144" s="1" t="s">
        <v>255</v>
      </c>
      <c r="G144" s="1" t="s">
        <v>251</v>
      </c>
      <c r="H144" s="1" t="s">
        <v>260</v>
      </c>
      <c r="I144" s="1" t="s">
        <v>251</v>
      </c>
      <c r="J144" s="1" t="s">
        <v>260</v>
      </c>
      <c r="K144" s="1" t="s">
        <v>229</v>
      </c>
      <c r="L144" s="1" t="s">
        <v>21</v>
      </c>
      <c r="M144" s="1" t="s">
        <v>22</v>
      </c>
      <c r="N144" s="1"/>
      <c r="O144" s="6" t="s">
        <v>343</v>
      </c>
      <c r="P144" s="1" t="s">
        <v>28</v>
      </c>
      <c r="Q144" s="1"/>
      <c r="R144" s="1">
        <v>2</v>
      </c>
      <c r="S144" s="1" t="s">
        <v>238</v>
      </c>
      <c r="T144" s="2">
        <v>60.88</v>
      </c>
      <c r="U144" s="1">
        <v>3</v>
      </c>
      <c r="W144" s="9">
        <f t="shared" si="24"/>
        <v>48.88</v>
      </c>
      <c r="X144" t="s">
        <v>286</v>
      </c>
      <c r="Y144" s="3">
        <f t="shared" si="27"/>
        <v>9</v>
      </c>
      <c r="Z144" s="3">
        <f t="shared" si="25"/>
        <v>0</v>
      </c>
      <c r="AA144" s="3">
        <f t="shared" si="28"/>
        <v>9</v>
      </c>
      <c r="AB144" s="34">
        <f t="shared" si="29"/>
        <v>0</v>
      </c>
      <c r="AC144" s="34">
        <f t="shared" si="30"/>
        <v>9</v>
      </c>
      <c r="AD144" s="35">
        <f t="shared" si="26"/>
        <v>0</v>
      </c>
      <c r="AE144" s="35">
        <f t="shared" si="31"/>
        <v>1</v>
      </c>
    </row>
    <row r="145" spans="1:31" x14ac:dyDescent="0.2">
      <c r="A145" s="3" t="s">
        <v>188</v>
      </c>
      <c r="B145">
        <v>3.4463092064347798</v>
      </c>
      <c r="C145">
        <v>-76.538292488223902</v>
      </c>
      <c r="D145" t="s">
        <v>351</v>
      </c>
      <c r="E145" s="3" t="s">
        <v>251</v>
      </c>
      <c r="F145" s="1" t="s">
        <v>260</v>
      </c>
      <c r="G145" s="1" t="s">
        <v>251</v>
      </c>
      <c r="H145" s="1" t="s">
        <v>261</v>
      </c>
      <c r="I145" s="1" t="s">
        <v>251</v>
      </c>
      <c r="J145" s="1" t="s">
        <v>262</v>
      </c>
      <c r="K145" s="1" t="s">
        <v>211</v>
      </c>
      <c r="L145" s="1" t="s">
        <v>21</v>
      </c>
      <c r="M145" s="1"/>
      <c r="N145" s="6" t="s">
        <v>24</v>
      </c>
      <c r="O145" s="6" t="s">
        <v>343</v>
      </c>
      <c r="P145" s="1" t="s">
        <v>28</v>
      </c>
      <c r="Q145" s="1"/>
      <c r="R145" s="1">
        <v>2</v>
      </c>
      <c r="S145" s="1" t="s">
        <v>238</v>
      </c>
      <c r="T145" s="2">
        <v>88.01</v>
      </c>
      <c r="U145" s="1">
        <v>2</v>
      </c>
      <c r="W145" s="9">
        <f t="shared" si="24"/>
        <v>80.010000000000005</v>
      </c>
      <c r="X145" t="s">
        <v>326</v>
      </c>
      <c r="Y145" s="3">
        <f t="shared" si="27"/>
        <v>16</v>
      </c>
      <c r="Z145" s="3">
        <f t="shared" si="25"/>
        <v>1</v>
      </c>
      <c r="AA145" s="3">
        <f t="shared" si="28"/>
        <v>15</v>
      </c>
      <c r="AB145" s="34">
        <f t="shared" si="29"/>
        <v>5</v>
      </c>
      <c r="AC145" s="34">
        <f t="shared" si="30"/>
        <v>15</v>
      </c>
      <c r="AD145" s="35">
        <f t="shared" si="26"/>
        <v>0.25</v>
      </c>
      <c r="AE145" s="35">
        <f t="shared" si="31"/>
        <v>0.75</v>
      </c>
    </row>
    <row r="146" spans="1:31" x14ac:dyDescent="0.2">
      <c r="A146" s="3" t="s">
        <v>189</v>
      </c>
      <c r="B146">
        <v>3.4466016291497201</v>
      </c>
      <c r="C146">
        <v>-76.538707757315905</v>
      </c>
      <c r="D146" t="s">
        <v>351</v>
      </c>
      <c r="E146" s="3" t="s">
        <v>20</v>
      </c>
      <c r="F146" s="1" t="s">
        <v>254</v>
      </c>
      <c r="G146" s="1" t="s">
        <v>251</v>
      </c>
      <c r="H146" s="1" t="s">
        <v>257</v>
      </c>
      <c r="I146" s="1" t="s">
        <v>251</v>
      </c>
      <c r="J146" s="1" t="s">
        <v>261</v>
      </c>
      <c r="K146" s="1" t="s">
        <v>233</v>
      </c>
      <c r="L146" s="1" t="s">
        <v>21</v>
      </c>
      <c r="M146" s="1" t="s">
        <v>28</v>
      </c>
      <c r="N146" s="1"/>
      <c r="O146" s="6" t="s">
        <v>343</v>
      </c>
      <c r="P146" s="1" t="s">
        <v>28</v>
      </c>
      <c r="Q146" s="1"/>
      <c r="R146" s="1">
        <v>2</v>
      </c>
      <c r="S146" s="1" t="s">
        <v>238</v>
      </c>
      <c r="T146" s="2">
        <v>40.79</v>
      </c>
      <c r="U146" s="1">
        <v>1</v>
      </c>
      <c r="W146" s="9">
        <f t="shared" si="24"/>
        <v>36.79</v>
      </c>
      <c r="X146" t="s">
        <v>287</v>
      </c>
      <c r="Y146" s="3">
        <f t="shared" si="27"/>
        <v>7</v>
      </c>
      <c r="Z146" s="3">
        <f t="shared" si="25"/>
        <v>0</v>
      </c>
      <c r="AA146" s="3">
        <f t="shared" si="28"/>
        <v>7</v>
      </c>
      <c r="AB146" s="34">
        <f t="shared" si="29"/>
        <v>0</v>
      </c>
      <c r="AC146" s="34">
        <f t="shared" si="30"/>
        <v>7</v>
      </c>
      <c r="AD146" s="35">
        <f t="shared" si="26"/>
        <v>0</v>
      </c>
      <c r="AE146" s="35">
        <f t="shared" si="31"/>
        <v>1</v>
      </c>
    </row>
    <row r="147" spans="1:31" x14ac:dyDescent="0.2">
      <c r="A147" s="3" t="s">
        <v>190</v>
      </c>
      <c r="B147">
        <v>3.4479408430240399</v>
      </c>
      <c r="C147">
        <v>-76.539245278929897</v>
      </c>
      <c r="D147" t="s">
        <v>351</v>
      </c>
      <c r="E147" s="3" t="s">
        <v>251</v>
      </c>
      <c r="F147" s="1" t="s">
        <v>257</v>
      </c>
      <c r="G147" s="1" t="s">
        <v>20</v>
      </c>
      <c r="H147" s="1" t="s">
        <v>254</v>
      </c>
      <c r="I147" s="1" t="s">
        <v>251</v>
      </c>
      <c r="J147" s="1" t="s">
        <v>263</v>
      </c>
      <c r="K147" s="1" t="s">
        <v>218</v>
      </c>
      <c r="L147" s="1" t="s">
        <v>21</v>
      </c>
      <c r="M147" s="1" t="s">
        <v>22</v>
      </c>
      <c r="N147" s="1"/>
      <c r="O147" s="6" t="s">
        <v>343</v>
      </c>
      <c r="P147" s="1" t="s">
        <v>28</v>
      </c>
      <c r="Q147" s="1"/>
      <c r="R147" s="1">
        <v>2</v>
      </c>
      <c r="S147" s="1" t="s">
        <v>238</v>
      </c>
      <c r="T147" s="2">
        <v>102.63</v>
      </c>
      <c r="U147" s="1">
        <v>5</v>
      </c>
      <c r="W147" s="9">
        <f t="shared" si="24"/>
        <v>82.63</v>
      </c>
      <c r="X147" t="s">
        <v>327</v>
      </c>
      <c r="Y147" s="3">
        <f t="shared" si="27"/>
        <v>16</v>
      </c>
      <c r="Z147" s="3">
        <f t="shared" si="25"/>
        <v>1</v>
      </c>
      <c r="AA147" s="3">
        <f t="shared" si="28"/>
        <v>15</v>
      </c>
      <c r="AB147" s="34">
        <f t="shared" si="29"/>
        <v>5</v>
      </c>
      <c r="AC147" s="34">
        <f t="shared" si="30"/>
        <v>15</v>
      </c>
      <c r="AD147" s="35">
        <f t="shared" si="26"/>
        <v>0.25</v>
      </c>
      <c r="AE147" s="35">
        <f t="shared" si="31"/>
        <v>0.75</v>
      </c>
    </row>
    <row r="148" spans="1:31" x14ac:dyDescent="0.2">
      <c r="A148" s="3" t="s">
        <v>191</v>
      </c>
      <c r="B148">
        <v>3.4477635668756399</v>
      </c>
      <c r="C148">
        <v>-76.538871161533805</v>
      </c>
      <c r="D148" t="s">
        <v>351</v>
      </c>
      <c r="E148" s="3" t="s">
        <v>20</v>
      </c>
      <c r="F148" s="1" t="s">
        <v>254</v>
      </c>
      <c r="G148" s="1" t="s">
        <v>251</v>
      </c>
      <c r="H148" s="1" t="s">
        <v>257</v>
      </c>
      <c r="I148" s="1" t="s">
        <v>251</v>
      </c>
      <c r="J148" s="1" t="s">
        <v>263</v>
      </c>
      <c r="K148" s="1" t="s">
        <v>233</v>
      </c>
      <c r="L148" s="1" t="s">
        <v>29</v>
      </c>
      <c r="M148" s="1" t="s">
        <v>245</v>
      </c>
      <c r="N148" s="1"/>
      <c r="O148" s="6" t="s">
        <v>343</v>
      </c>
      <c r="P148" s="1" t="s">
        <v>28</v>
      </c>
      <c r="Q148" s="1"/>
      <c r="R148" s="1">
        <v>2</v>
      </c>
      <c r="S148" s="1" t="s">
        <v>238</v>
      </c>
      <c r="T148" s="2">
        <v>38.08</v>
      </c>
      <c r="U148" s="1">
        <v>2</v>
      </c>
      <c r="W148" s="9">
        <f t="shared" si="24"/>
        <v>30.08</v>
      </c>
      <c r="X148" t="s">
        <v>288</v>
      </c>
      <c r="Y148" s="3">
        <f t="shared" si="27"/>
        <v>6</v>
      </c>
      <c r="Z148" s="3">
        <f t="shared" si="25"/>
        <v>0</v>
      </c>
      <c r="AA148" s="3">
        <f t="shared" si="28"/>
        <v>6</v>
      </c>
      <c r="AB148" s="34">
        <f t="shared" si="29"/>
        <v>0</v>
      </c>
      <c r="AC148" s="34">
        <f t="shared" si="30"/>
        <v>6</v>
      </c>
      <c r="AD148" s="35">
        <f t="shared" si="26"/>
        <v>0</v>
      </c>
      <c r="AE148" s="35">
        <f t="shared" si="31"/>
        <v>1</v>
      </c>
    </row>
    <row r="149" spans="1:31" x14ac:dyDescent="0.2">
      <c r="A149" s="3" t="s">
        <v>192</v>
      </c>
      <c r="B149">
        <v>3.44759471169901</v>
      </c>
      <c r="C149">
        <v>-76.539245272175407</v>
      </c>
      <c r="D149" t="s">
        <v>351</v>
      </c>
      <c r="E149" s="3" t="s">
        <v>251</v>
      </c>
      <c r="F149" s="1" t="s">
        <v>263</v>
      </c>
      <c r="G149" s="1" t="s">
        <v>251</v>
      </c>
      <c r="H149" s="1" t="s">
        <v>257</v>
      </c>
      <c r="I149" s="6" t="s">
        <v>251</v>
      </c>
      <c r="J149" s="1" t="s">
        <v>25</v>
      </c>
      <c r="K149" s="1" t="s">
        <v>211</v>
      </c>
      <c r="L149" s="6" t="s">
        <v>21</v>
      </c>
      <c r="M149" s="1" t="s">
        <v>245</v>
      </c>
      <c r="N149" s="1"/>
      <c r="O149" s="6" t="s">
        <v>343</v>
      </c>
      <c r="P149" s="1" t="s">
        <v>28</v>
      </c>
      <c r="Q149" s="1"/>
      <c r="R149" s="1">
        <v>2</v>
      </c>
      <c r="S149" s="1" t="s">
        <v>238</v>
      </c>
      <c r="T149" s="2">
        <v>99.32</v>
      </c>
      <c r="U149" s="1">
        <v>3</v>
      </c>
      <c r="W149" s="9">
        <f t="shared" si="24"/>
        <v>87.32</v>
      </c>
      <c r="X149" t="s">
        <v>328</v>
      </c>
      <c r="Y149" s="3">
        <f t="shared" si="27"/>
        <v>17</v>
      </c>
      <c r="Z149" s="3">
        <f t="shared" si="25"/>
        <v>1</v>
      </c>
      <c r="AA149" s="3">
        <f t="shared" si="28"/>
        <v>16</v>
      </c>
      <c r="AB149" s="34">
        <f t="shared" si="29"/>
        <v>5</v>
      </c>
      <c r="AC149" s="34">
        <f t="shared" si="30"/>
        <v>16</v>
      </c>
      <c r="AD149" s="35">
        <f t="shared" si="26"/>
        <v>0.23809523809523808</v>
      </c>
      <c r="AE149" s="35">
        <f t="shared" si="31"/>
        <v>0.76190476190476186</v>
      </c>
    </row>
    <row r="150" spans="1:31" x14ac:dyDescent="0.2">
      <c r="A150" s="4" t="s">
        <v>193</v>
      </c>
      <c r="B150">
        <v>3.44776355215651</v>
      </c>
      <c r="C150">
        <v>-76.539619389406695</v>
      </c>
      <c r="D150" t="s">
        <v>351</v>
      </c>
      <c r="E150" s="5" t="s">
        <v>20</v>
      </c>
      <c r="F150" s="1">
        <v>2</v>
      </c>
      <c r="G150" s="6" t="s">
        <v>251</v>
      </c>
      <c r="H150" s="1">
        <v>5</v>
      </c>
      <c r="I150" s="1" t="s">
        <v>251</v>
      </c>
      <c r="J150" s="1" t="s">
        <v>263</v>
      </c>
      <c r="K150" s="6" t="s">
        <v>229</v>
      </c>
      <c r="L150" s="6" t="s">
        <v>29</v>
      </c>
      <c r="M150" s="1" t="s">
        <v>245</v>
      </c>
      <c r="N150" s="1"/>
      <c r="O150" s="6" t="s">
        <v>343</v>
      </c>
      <c r="P150" s="1" t="s">
        <v>28</v>
      </c>
      <c r="Q150" s="1"/>
      <c r="R150" s="1">
        <v>2</v>
      </c>
      <c r="S150" s="1" t="s">
        <v>238</v>
      </c>
      <c r="T150" s="2">
        <v>26.83</v>
      </c>
      <c r="U150" s="1">
        <v>1</v>
      </c>
      <c r="W150" s="9">
        <f t="shared" si="24"/>
        <v>22.83</v>
      </c>
      <c r="X150" t="s">
        <v>329</v>
      </c>
      <c r="Y150" s="3">
        <f t="shared" si="27"/>
        <v>4</v>
      </c>
      <c r="Z150" s="3">
        <f t="shared" si="25"/>
        <v>0</v>
      </c>
      <c r="AA150" s="3">
        <f t="shared" si="28"/>
        <v>4</v>
      </c>
      <c r="AB150" s="34">
        <f t="shared" si="29"/>
        <v>0</v>
      </c>
      <c r="AC150" s="34">
        <f t="shared" si="30"/>
        <v>4</v>
      </c>
      <c r="AD150" s="35">
        <f t="shared" si="26"/>
        <v>0</v>
      </c>
      <c r="AE150" s="35">
        <f t="shared" si="31"/>
        <v>1</v>
      </c>
    </row>
    <row r="151" spans="1:31" x14ac:dyDescent="0.2">
      <c r="A151" s="3" t="s">
        <v>194</v>
      </c>
      <c r="B151">
        <v>3.4479809089617599</v>
      </c>
      <c r="C151">
        <v>-76.537446491226504</v>
      </c>
      <c r="D151" t="s">
        <v>351</v>
      </c>
      <c r="E151" s="3" t="s">
        <v>251</v>
      </c>
      <c r="F151" s="1" t="s">
        <v>263</v>
      </c>
      <c r="G151" s="1" t="s">
        <v>20</v>
      </c>
      <c r="H151" s="1" t="s">
        <v>257</v>
      </c>
      <c r="I151" s="1" t="s">
        <v>20</v>
      </c>
      <c r="J151" s="1" t="s">
        <v>257</v>
      </c>
      <c r="K151" s="1" t="s">
        <v>211</v>
      </c>
      <c r="L151" s="6" t="s">
        <v>29</v>
      </c>
      <c r="M151" s="1" t="s">
        <v>28</v>
      </c>
      <c r="N151" s="1"/>
      <c r="O151" s="6" t="s">
        <v>343</v>
      </c>
      <c r="P151" s="1" t="s">
        <v>28</v>
      </c>
      <c r="Q151" s="1"/>
      <c r="R151" s="1">
        <v>2</v>
      </c>
      <c r="S151" s="1" t="s">
        <v>238</v>
      </c>
      <c r="T151" s="2">
        <v>77.19</v>
      </c>
      <c r="U151" s="1">
        <v>2</v>
      </c>
      <c r="W151" s="9">
        <f t="shared" si="24"/>
        <v>69.19</v>
      </c>
      <c r="X151" t="s">
        <v>330</v>
      </c>
      <c r="Y151" s="3">
        <f t="shared" si="27"/>
        <v>13</v>
      </c>
      <c r="Z151" s="3">
        <f t="shared" si="25"/>
        <v>1</v>
      </c>
      <c r="AA151" s="3">
        <f t="shared" si="28"/>
        <v>12</v>
      </c>
      <c r="AB151" s="34">
        <f t="shared" si="29"/>
        <v>5</v>
      </c>
      <c r="AC151" s="34">
        <f t="shared" si="30"/>
        <v>12</v>
      </c>
      <c r="AD151" s="35">
        <f t="shared" si="26"/>
        <v>0.29411764705882354</v>
      </c>
      <c r="AE151" s="35">
        <f t="shared" si="31"/>
        <v>0.70588235294117652</v>
      </c>
    </row>
    <row r="152" spans="1:31" x14ac:dyDescent="0.2">
      <c r="A152" s="3" t="s">
        <v>195</v>
      </c>
      <c r="B152">
        <v>3.4471419118419999</v>
      </c>
      <c r="C152">
        <v>-76.537446476431299</v>
      </c>
      <c r="D152" t="s">
        <v>351</v>
      </c>
      <c r="E152" s="3" t="s">
        <v>251</v>
      </c>
      <c r="F152" s="1" t="s">
        <v>261</v>
      </c>
      <c r="G152" s="1" t="s">
        <v>20</v>
      </c>
      <c r="H152" s="1" t="s">
        <v>257</v>
      </c>
      <c r="I152" s="1" t="s">
        <v>20</v>
      </c>
      <c r="J152" s="1" t="s">
        <v>255</v>
      </c>
      <c r="K152" s="1" t="s">
        <v>218</v>
      </c>
      <c r="L152" s="6" t="s">
        <v>29</v>
      </c>
      <c r="M152" s="1" t="s">
        <v>245</v>
      </c>
      <c r="N152" s="1"/>
      <c r="O152" s="6" t="s">
        <v>343</v>
      </c>
      <c r="P152" s="1" t="s">
        <v>28</v>
      </c>
      <c r="Q152" s="1"/>
      <c r="R152" s="1">
        <v>2</v>
      </c>
      <c r="S152" s="1" t="s">
        <v>238</v>
      </c>
      <c r="T152" s="2">
        <v>81.819999999999993</v>
      </c>
      <c r="U152" s="1">
        <v>3</v>
      </c>
      <c r="W152" s="9">
        <f t="shared" si="24"/>
        <v>69.819999999999993</v>
      </c>
      <c r="X152" t="s">
        <v>331</v>
      </c>
      <c r="Y152" s="3">
        <f t="shared" si="27"/>
        <v>13</v>
      </c>
      <c r="Z152" s="3">
        <f t="shared" si="25"/>
        <v>1</v>
      </c>
      <c r="AA152" s="3">
        <f t="shared" si="28"/>
        <v>12</v>
      </c>
      <c r="AB152" s="34">
        <f t="shared" si="29"/>
        <v>5</v>
      </c>
      <c r="AC152" s="34">
        <f t="shared" si="30"/>
        <v>12</v>
      </c>
      <c r="AD152" s="35">
        <f t="shared" si="26"/>
        <v>0.29411764705882354</v>
      </c>
      <c r="AE152" s="35">
        <f t="shared" si="31"/>
        <v>0.70588235294117652</v>
      </c>
    </row>
    <row r="153" spans="1:31" x14ac:dyDescent="0.2">
      <c r="A153" s="3" t="s">
        <v>196</v>
      </c>
      <c r="B153">
        <v>3.447587261384331</v>
      </c>
      <c r="C153">
        <v>-76.537825799823096</v>
      </c>
      <c r="D153" t="s">
        <v>351</v>
      </c>
      <c r="E153" s="3" t="s">
        <v>20</v>
      </c>
      <c r="F153" s="1" t="s">
        <v>255</v>
      </c>
      <c r="G153" s="1" t="s">
        <v>251</v>
      </c>
      <c r="H153" s="1" t="s">
        <v>263</v>
      </c>
      <c r="I153" s="1" t="s">
        <v>20</v>
      </c>
      <c r="J153" s="1" t="s">
        <v>257</v>
      </c>
      <c r="K153" s="1" t="s">
        <v>229</v>
      </c>
      <c r="L153" s="1" t="s">
        <v>29</v>
      </c>
      <c r="M153" s="1" t="s">
        <v>22</v>
      </c>
      <c r="N153" s="1"/>
      <c r="O153" s="6" t="s">
        <v>343</v>
      </c>
      <c r="P153" s="1" t="s">
        <v>27</v>
      </c>
      <c r="Q153" s="1"/>
      <c r="R153" s="1">
        <v>2</v>
      </c>
      <c r="S153" s="1" t="s">
        <v>238</v>
      </c>
      <c r="T153" s="2">
        <v>77.63</v>
      </c>
      <c r="U153" s="1">
        <v>1</v>
      </c>
      <c r="W153" s="9">
        <f t="shared" si="24"/>
        <v>73.63</v>
      </c>
      <c r="X153" t="s">
        <v>289</v>
      </c>
      <c r="Y153" s="3">
        <f t="shared" si="27"/>
        <v>14</v>
      </c>
      <c r="Z153" s="3">
        <f t="shared" si="25"/>
        <v>1</v>
      </c>
      <c r="AA153" s="3">
        <f t="shared" si="28"/>
        <v>13</v>
      </c>
      <c r="AB153" s="34">
        <f t="shared" si="29"/>
        <v>5</v>
      </c>
      <c r="AC153" s="34">
        <f t="shared" si="30"/>
        <v>13</v>
      </c>
      <c r="AD153" s="35">
        <f t="shared" si="26"/>
        <v>0.27777777777777779</v>
      </c>
      <c r="AE153" s="35">
        <f t="shared" si="31"/>
        <v>0.72222222222222221</v>
      </c>
    </row>
    <row r="154" spans="1:31" x14ac:dyDescent="0.2">
      <c r="A154" s="3" t="s">
        <v>197</v>
      </c>
      <c r="B154">
        <v>3.44618764117509</v>
      </c>
      <c r="C154">
        <v>-76.538313131592901</v>
      </c>
      <c r="D154" t="s">
        <v>351</v>
      </c>
      <c r="E154" s="3" t="s">
        <v>251</v>
      </c>
      <c r="F154" s="1" t="s">
        <v>260</v>
      </c>
      <c r="G154" s="1" t="s">
        <v>251</v>
      </c>
      <c r="H154" s="1" t="s">
        <v>261</v>
      </c>
      <c r="I154" s="1" t="s">
        <v>251</v>
      </c>
      <c r="J154" s="1" t="s">
        <v>262</v>
      </c>
      <c r="K154" s="1" t="s">
        <v>211</v>
      </c>
      <c r="L154" s="1" t="s">
        <v>29</v>
      </c>
      <c r="M154" s="1" t="s">
        <v>22</v>
      </c>
      <c r="N154" s="1"/>
      <c r="O154" s="6" t="s">
        <v>343</v>
      </c>
      <c r="P154" s="1" t="s">
        <v>28</v>
      </c>
      <c r="Q154" s="1"/>
      <c r="R154" s="1">
        <v>2</v>
      </c>
      <c r="S154" s="1" t="s">
        <v>238</v>
      </c>
      <c r="T154" s="2">
        <v>92.56</v>
      </c>
      <c r="U154" s="1">
        <v>2</v>
      </c>
      <c r="W154" s="9">
        <f t="shared" si="24"/>
        <v>84.56</v>
      </c>
      <c r="X154" t="s">
        <v>332</v>
      </c>
      <c r="Y154" s="3">
        <f t="shared" si="27"/>
        <v>16</v>
      </c>
      <c r="Z154" s="3">
        <f t="shared" si="25"/>
        <v>1</v>
      </c>
      <c r="AA154" s="3">
        <f t="shared" si="28"/>
        <v>15</v>
      </c>
      <c r="AB154" s="34">
        <f t="shared" si="29"/>
        <v>5</v>
      </c>
      <c r="AC154" s="34">
        <f t="shared" si="30"/>
        <v>15</v>
      </c>
      <c r="AD154" s="35">
        <f t="shared" si="26"/>
        <v>0.25</v>
      </c>
      <c r="AE154" s="35">
        <f t="shared" si="31"/>
        <v>0.75</v>
      </c>
    </row>
    <row r="155" spans="1:31" x14ac:dyDescent="0.2">
      <c r="A155" s="3" t="s">
        <v>198</v>
      </c>
      <c r="B155">
        <v>3.4459136556209402</v>
      </c>
      <c r="C155">
        <v>-76.537852759286295</v>
      </c>
      <c r="D155" t="s">
        <v>351</v>
      </c>
      <c r="E155" s="3" t="s">
        <v>20</v>
      </c>
      <c r="F155" s="1" t="s">
        <v>255</v>
      </c>
      <c r="G155" s="1" t="s">
        <v>251</v>
      </c>
      <c r="H155" s="1" t="s">
        <v>260</v>
      </c>
      <c r="I155" s="1" t="s">
        <v>251</v>
      </c>
      <c r="J155" s="1" t="s">
        <v>260</v>
      </c>
      <c r="K155" s="1" t="s">
        <v>229</v>
      </c>
      <c r="L155" s="1" t="s">
        <v>21</v>
      </c>
      <c r="M155" s="1" t="s">
        <v>22</v>
      </c>
      <c r="N155" s="1"/>
      <c r="O155" s="6" t="s">
        <v>343</v>
      </c>
      <c r="P155" s="1" t="s">
        <v>23</v>
      </c>
      <c r="Q155" s="1"/>
      <c r="R155" s="1">
        <v>2</v>
      </c>
      <c r="S155" s="1" t="s">
        <v>238</v>
      </c>
      <c r="T155" s="2">
        <v>45.87</v>
      </c>
      <c r="U155" s="1">
        <v>4</v>
      </c>
      <c r="W155" s="9">
        <f t="shared" ref="W155:W168" si="32">T155-4*U155</f>
        <v>29.869999999999997</v>
      </c>
      <c r="X155" t="s">
        <v>290</v>
      </c>
      <c r="Y155" s="3">
        <f t="shared" si="27"/>
        <v>5</v>
      </c>
      <c r="Z155" s="3">
        <f t="shared" si="25"/>
        <v>0</v>
      </c>
      <c r="AA155" s="3">
        <f t="shared" si="28"/>
        <v>5</v>
      </c>
      <c r="AB155" s="34">
        <f t="shared" si="29"/>
        <v>0</v>
      </c>
      <c r="AC155" s="34">
        <f t="shared" si="30"/>
        <v>5</v>
      </c>
      <c r="AD155" s="35">
        <f t="shared" si="26"/>
        <v>0</v>
      </c>
      <c r="AE155" s="35">
        <f t="shared" si="31"/>
        <v>1</v>
      </c>
    </row>
    <row r="156" spans="1:31" x14ac:dyDescent="0.2">
      <c r="A156" s="3" t="s">
        <v>199</v>
      </c>
      <c r="B156">
        <v>3.4456041897302998</v>
      </c>
      <c r="C156">
        <v>-76.538313120781197</v>
      </c>
      <c r="D156" t="s">
        <v>351</v>
      </c>
      <c r="E156" s="3" t="s">
        <v>251</v>
      </c>
      <c r="F156" s="1" t="s">
        <v>262</v>
      </c>
      <c r="G156" s="1" t="s">
        <v>251</v>
      </c>
      <c r="H156" s="1" t="s">
        <v>260</v>
      </c>
      <c r="I156" s="1" t="s">
        <v>251</v>
      </c>
      <c r="J156" s="1" t="s">
        <v>346</v>
      </c>
      <c r="K156" s="1" t="s">
        <v>218</v>
      </c>
      <c r="L156" s="1" t="s">
        <v>29</v>
      </c>
      <c r="M156" s="1" t="s">
        <v>22</v>
      </c>
      <c r="N156" s="1"/>
      <c r="O156" s="6" t="s">
        <v>343</v>
      </c>
      <c r="P156" s="1" t="s">
        <v>23</v>
      </c>
      <c r="Q156" s="1"/>
      <c r="R156" s="1">
        <v>2</v>
      </c>
      <c r="S156" s="1" t="s">
        <v>238</v>
      </c>
      <c r="T156" s="2">
        <v>85.81</v>
      </c>
      <c r="U156" s="1">
        <v>3</v>
      </c>
      <c r="W156" s="9">
        <f t="shared" si="32"/>
        <v>73.81</v>
      </c>
      <c r="X156" t="s">
        <v>333</v>
      </c>
      <c r="Y156" s="3">
        <f t="shared" si="27"/>
        <v>14</v>
      </c>
      <c r="Z156" s="3">
        <f t="shared" si="25"/>
        <v>1</v>
      </c>
      <c r="AA156" s="3">
        <f t="shared" si="28"/>
        <v>13</v>
      </c>
      <c r="AB156" s="34">
        <f t="shared" si="29"/>
        <v>5</v>
      </c>
      <c r="AC156" s="34">
        <f t="shared" si="30"/>
        <v>13</v>
      </c>
      <c r="AD156" s="35">
        <f t="shared" si="26"/>
        <v>0.27777777777777779</v>
      </c>
      <c r="AE156" s="35">
        <f t="shared" si="31"/>
        <v>0.72222222222222221</v>
      </c>
    </row>
    <row r="157" spans="1:31" x14ac:dyDescent="0.2">
      <c r="A157" s="3" t="s">
        <v>200</v>
      </c>
      <c r="B157">
        <v>3.44591363841191</v>
      </c>
      <c r="C157">
        <v>-76.5387734937445</v>
      </c>
      <c r="D157" t="s">
        <v>351</v>
      </c>
      <c r="E157" s="3" t="s">
        <v>20</v>
      </c>
      <c r="F157" s="1" t="s">
        <v>254</v>
      </c>
      <c r="G157" s="1" t="s">
        <v>251</v>
      </c>
      <c r="H157" s="1" t="s">
        <v>260</v>
      </c>
      <c r="I157" s="1" t="s">
        <v>251</v>
      </c>
      <c r="J157" s="1" t="s">
        <v>260</v>
      </c>
      <c r="K157" s="1" t="s">
        <v>233</v>
      </c>
      <c r="L157" s="1" t="s">
        <v>21</v>
      </c>
      <c r="M157" s="1"/>
      <c r="N157" s="6" t="s">
        <v>24</v>
      </c>
      <c r="O157" s="6" t="s">
        <v>343</v>
      </c>
      <c r="P157" s="1" t="s">
        <v>28</v>
      </c>
      <c r="Q157" s="1"/>
      <c r="R157" s="1">
        <v>2</v>
      </c>
      <c r="S157" s="1" t="s">
        <v>238</v>
      </c>
      <c r="T157" s="2">
        <v>61.96</v>
      </c>
      <c r="U157" s="1">
        <v>2</v>
      </c>
      <c r="W157" s="9">
        <f t="shared" si="32"/>
        <v>53.96</v>
      </c>
      <c r="X157" t="s">
        <v>291</v>
      </c>
      <c r="Y157" s="3">
        <f t="shared" si="27"/>
        <v>10</v>
      </c>
      <c r="Z157" s="3">
        <f t="shared" si="25"/>
        <v>0</v>
      </c>
      <c r="AA157" s="3">
        <f t="shared" si="28"/>
        <v>10</v>
      </c>
      <c r="AB157" s="34">
        <f t="shared" si="29"/>
        <v>0</v>
      </c>
      <c r="AC157" s="34">
        <f t="shared" si="30"/>
        <v>10</v>
      </c>
      <c r="AD157" s="35">
        <f t="shared" si="26"/>
        <v>0</v>
      </c>
      <c r="AE157" s="35">
        <f t="shared" si="31"/>
        <v>1</v>
      </c>
    </row>
    <row r="158" spans="1:31" x14ac:dyDescent="0.2">
      <c r="A158" s="3" t="s">
        <v>201</v>
      </c>
      <c r="B158">
        <v>3.4475271403457599</v>
      </c>
      <c r="C158">
        <v>-76.540200575449305</v>
      </c>
      <c r="D158" t="s">
        <v>351</v>
      </c>
      <c r="E158" s="3" t="s">
        <v>251</v>
      </c>
      <c r="F158" s="1" t="s">
        <v>257</v>
      </c>
      <c r="G158" s="1" t="s">
        <v>20</v>
      </c>
      <c r="H158" s="1" t="s">
        <v>253</v>
      </c>
      <c r="I158" s="1" t="s">
        <v>20</v>
      </c>
      <c r="J158" s="1" t="s">
        <v>256</v>
      </c>
      <c r="K158" s="1" t="s">
        <v>218</v>
      </c>
      <c r="L158" s="1" t="s">
        <v>21</v>
      </c>
      <c r="M158" s="1" t="s">
        <v>22</v>
      </c>
      <c r="N158" s="1"/>
      <c r="O158" s="6" t="s">
        <v>343</v>
      </c>
      <c r="P158" s="1" t="s">
        <v>28</v>
      </c>
      <c r="Q158" s="1"/>
      <c r="R158" s="1">
        <v>2</v>
      </c>
      <c r="S158" s="1" t="s">
        <v>238</v>
      </c>
      <c r="T158" s="2">
        <v>31.87</v>
      </c>
      <c r="U158" s="1">
        <v>1</v>
      </c>
      <c r="W158" s="9">
        <f t="shared" si="32"/>
        <v>27.87</v>
      </c>
      <c r="X158" t="s">
        <v>334</v>
      </c>
      <c r="Y158" s="3">
        <f t="shared" si="27"/>
        <v>5</v>
      </c>
      <c r="Z158" s="3">
        <f t="shared" si="25"/>
        <v>0</v>
      </c>
      <c r="AA158" s="3">
        <f t="shared" si="28"/>
        <v>5</v>
      </c>
      <c r="AB158" s="34">
        <f t="shared" si="29"/>
        <v>0</v>
      </c>
      <c r="AC158" s="34">
        <f t="shared" si="30"/>
        <v>5</v>
      </c>
      <c r="AD158" s="35">
        <f t="shared" si="26"/>
        <v>0</v>
      </c>
      <c r="AE158" s="35">
        <f t="shared" si="31"/>
        <v>1</v>
      </c>
    </row>
    <row r="159" spans="1:31" x14ac:dyDescent="0.2">
      <c r="A159" s="3" t="s">
        <v>202</v>
      </c>
      <c r="B159">
        <v>3.44745855096218</v>
      </c>
      <c r="C159">
        <v>-76.540034082259496</v>
      </c>
      <c r="D159" t="s">
        <v>351</v>
      </c>
      <c r="E159" s="5" t="s">
        <v>20</v>
      </c>
      <c r="F159" s="1">
        <v>2</v>
      </c>
      <c r="G159" s="6" t="s">
        <v>251</v>
      </c>
      <c r="H159" s="1">
        <v>5</v>
      </c>
      <c r="I159" s="6" t="s">
        <v>251</v>
      </c>
      <c r="J159" s="1">
        <v>6</v>
      </c>
      <c r="K159" s="6" t="s">
        <v>229</v>
      </c>
      <c r="L159" s="6" t="s">
        <v>21</v>
      </c>
      <c r="M159" s="1" t="s">
        <v>28</v>
      </c>
      <c r="N159" s="1"/>
      <c r="O159" s="6" t="s">
        <v>343</v>
      </c>
      <c r="P159" s="1" t="s">
        <v>23</v>
      </c>
      <c r="Q159" s="1"/>
      <c r="R159" s="1">
        <v>2</v>
      </c>
      <c r="S159" s="1" t="s">
        <v>238</v>
      </c>
      <c r="T159" s="2">
        <v>17.32</v>
      </c>
      <c r="U159" s="1">
        <v>0</v>
      </c>
      <c r="W159" s="9">
        <f t="shared" si="32"/>
        <v>17.32</v>
      </c>
      <c r="X159" t="s">
        <v>335</v>
      </c>
      <c r="Y159" s="3">
        <f t="shared" si="27"/>
        <v>3</v>
      </c>
      <c r="Z159" s="3">
        <f t="shared" si="25"/>
        <v>0</v>
      </c>
      <c r="AA159" s="3">
        <f t="shared" si="28"/>
        <v>3</v>
      </c>
      <c r="AB159" s="34">
        <f t="shared" si="29"/>
        <v>0</v>
      </c>
      <c r="AC159" s="34">
        <f t="shared" si="30"/>
        <v>3</v>
      </c>
      <c r="AD159" s="35">
        <f t="shared" si="26"/>
        <v>0</v>
      </c>
      <c r="AE159" s="35">
        <f t="shared" si="31"/>
        <v>1</v>
      </c>
    </row>
    <row r="160" spans="1:31" x14ac:dyDescent="0.2">
      <c r="A160" s="3" t="s">
        <v>203</v>
      </c>
      <c r="B160">
        <v>3.4473458998735298</v>
      </c>
      <c r="C160">
        <v>-76.540200571732001</v>
      </c>
      <c r="D160" t="s">
        <v>351</v>
      </c>
      <c r="E160" s="3" t="s">
        <v>251</v>
      </c>
      <c r="F160" s="1" t="s">
        <v>263</v>
      </c>
      <c r="G160" s="1" t="s">
        <v>20</v>
      </c>
      <c r="H160" s="1" t="s">
        <v>253</v>
      </c>
      <c r="I160" s="1" t="s">
        <v>251</v>
      </c>
      <c r="J160" s="1" t="s">
        <v>261</v>
      </c>
      <c r="K160" s="1" t="s">
        <v>211</v>
      </c>
      <c r="L160" s="6" t="s">
        <v>21</v>
      </c>
      <c r="M160" s="1" t="s">
        <v>247</v>
      </c>
      <c r="N160" s="1"/>
      <c r="O160" s="6" t="s">
        <v>343</v>
      </c>
      <c r="P160" s="1" t="s">
        <v>23</v>
      </c>
      <c r="Q160" s="1"/>
      <c r="R160" s="1">
        <v>2</v>
      </c>
      <c r="S160" s="1" t="s">
        <v>238</v>
      </c>
      <c r="T160" s="2">
        <v>29.14</v>
      </c>
      <c r="U160" s="1">
        <v>2</v>
      </c>
      <c r="W160" s="9">
        <f t="shared" si="32"/>
        <v>21.14</v>
      </c>
      <c r="X160" t="s">
        <v>336</v>
      </c>
      <c r="Y160" s="3">
        <f t="shared" si="27"/>
        <v>4</v>
      </c>
      <c r="Z160" s="3">
        <f t="shared" si="25"/>
        <v>0</v>
      </c>
      <c r="AA160" s="3">
        <f t="shared" si="28"/>
        <v>4</v>
      </c>
      <c r="AB160" s="34">
        <f t="shared" si="29"/>
        <v>0</v>
      </c>
      <c r="AC160" s="34">
        <f t="shared" si="30"/>
        <v>4</v>
      </c>
      <c r="AD160" s="35">
        <f t="shared" si="26"/>
        <v>0</v>
      </c>
      <c r="AE160" s="35">
        <f t="shared" si="31"/>
        <v>1</v>
      </c>
    </row>
    <row r="161" spans="1:31" x14ac:dyDescent="0.2">
      <c r="A161" s="3" t="s">
        <v>204</v>
      </c>
      <c r="B161">
        <v>3.4488803501052598</v>
      </c>
      <c r="C161">
        <v>-76.541288777542405</v>
      </c>
      <c r="D161" t="s">
        <v>351</v>
      </c>
      <c r="E161" s="3" t="s">
        <v>251</v>
      </c>
      <c r="F161" s="1" t="s">
        <v>255</v>
      </c>
      <c r="G161" s="1" t="s">
        <v>20</v>
      </c>
      <c r="H161" s="1" t="s">
        <v>256</v>
      </c>
      <c r="I161" s="1" t="s">
        <v>20</v>
      </c>
      <c r="J161" s="1" t="s">
        <v>256</v>
      </c>
      <c r="K161" s="1" t="s">
        <v>211</v>
      </c>
      <c r="L161" s="1" t="s">
        <v>21</v>
      </c>
      <c r="M161" s="1" t="s">
        <v>245</v>
      </c>
      <c r="N161" s="1"/>
      <c r="O161" s="6" t="s">
        <v>343</v>
      </c>
      <c r="P161" s="1" t="s">
        <v>28</v>
      </c>
      <c r="Q161" s="1"/>
      <c r="R161" s="1">
        <v>2</v>
      </c>
      <c r="S161" s="1" t="s">
        <v>238</v>
      </c>
      <c r="T161" s="2">
        <v>45.75</v>
      </c>
      <c r="U161" s="1">
        <v>3</v>
      </c>
      <c r="W161" s="9">
        <f t="shared" si="32"/>
        <v>33.75</v>
      </c>
      <c r="X161" t="s">
        <v>337</v>
      </c>
      <c r="Y161" s="3">
        <f t="shared" si="27"/>
        <v>6</v>
      </c>
      <c r="Z161" s="3">
        <f t="shared" si="25"/>
        <v>0</v>
      </c>
      <c r="AA161" s="3">
        <f t="shared" si="28"/>
        <v>6</v>
      </c>
      <c r="AB161" s="34">
        <f t="shared" si="29"/>
        <v>0</v>
      </c>
      <c r="AC161" s="34">
        <f t="shared" si="30"/>
        <v>6</v>
      </c>
      <c r="AD161" s="35">
        <f t="shared" si="26"/>
        <v>0</v>
      </c>
      <c r="AE161" s="35">
        <f t="shared" si="31"/>
        <v>1</v>
      </c>
    </row>
    <row r="162" spans="1:31" x14ac:dyDescent="0.2">
      <c r="A162" s="3" t="s">
        <v>205</v>
      </c>
      <c r="B162">
        <v>3.4489705238050901</v>
      </c>
      <c r="C162">
        <v>-76.541503211550605</v>
      </c>
      <c r="D162" t="s">
        <v>351</v>
      </c>
      <c r="E162" s="3" t="s">
        <v>20</v>
      </c>
      <c r="F162" s="1" t="s">
        <v>256</v>
      </c>
      <c r="G162" s="1" t="s">
        <v>251</v>
      </c>
      <c r="H162" s="1" t="s">
        <v>255</v>
      </c>
      <c r="I162" s="1" t="s">
        <v>251</v>
      </c>
      <c r="J162" s="1" t="s">
        <v>349</v>
      </c>
      <c r="K162" s="1" t="s">
        <v>224</v>
      </c>
      <c r="L162" s="6" t="s">
        <v>29</v>
      </c>
      <c r="N162" s="6" t="s">
        <v>24</v>
      </c>
      <c r="O162" s="6" t="s">
        <v>343</v>
      </c>
      <c r="P162" s="1" t="s">
        <v>28</v>
      </c>
      <c r="Q162" s="1"/>
      <c r="R162" s="1">
        <v>2</v>
      </c>
      <c r="S162" s="1" t="s">
        <v>224</v>
      </c>
      <c r="T162" s="2">
        <v>16.809999999999999</v>
      </c>
      <c r="U162" s="1">
        <v>1</v>
      </c>
      <c r="W162" s="9">
        <f t="shared" si="32"/>
        <v>12.809999999999999</v>
      </c>
      <c r="X162" t="s">
        <v>292</v>
      </c>
      <c r="Y162" s="3">
        <f t="shared" si="27"/>
        <v>2</v>
      </c>
      <c r="Z162" s="3">
        <f t="shared" si="25"/>
        <v>0</v>
      </c>
      <c r="AA162" s="3">
        <f t="shared" si="28"/>
        <v>2</v>
      </c>
      <c r="AB162" s="34">
        <f t="shared" si="29"/>
        <v>0</v>
      </c>
      <c r="AC162" s="34">
        <f t="shared" si="30"/>
        <v>2</v>
      </c>
      <c r="AD162" s="35">
        <f t="shared" si="26"/>
        <v>0</v>
      </c>
      <c r="AE162" s="35">
        <f t="shared" si="31"/>
        <v>1</v>
      </c>
    </row>
    <row r="163" spans="1:31" x14ac:dyDescent="0.2">
      <c r="A163" s="3" t="s">
        <v>206</v>
      </c>
      <c r="B163">
        <v>3.44833729935262</v>
      </c>
      <c r="C163">
        <v>-76.538888423629203</v>
      </c>
      <c r="D163" t="s">
        <v>351</v>
      </c>
      <c r="E163" s="3" t="s">
        <v>251</v>
      </c>
      <c r="F163" s="1" t="s">
        <v>257</v>
      </c>
      <c r="G163" s="1" t="s">
        <v>20</v>
      </c>
      <c r="H163" s="1" t="s">
        <v>254</v>
      </c>
      <c r="I163" s="1" t="s">
        <v>20</v>
      </c>
      <c r="J163" s="1" t="s">
        <v>254</v>
      </c>
      <c r="K163" s="6" t="s">
        <v>233</v>
      </c>
      <c r="L163" s="6" t="s">
        <v>29</v>
      </c>
      <c r="M163" s="1" t="s">
        <v>247</v>
      </c>
      <c r="N163" s="1"/>
      <c r="O163" s="6" t="s">
        <v>343</v>
      </c>
      <c r="P163" s="1" t="s">
        <v>28</v>
      </c>
      <c r="Q163" s="1"/>
      <c r="R163" s="1">
        <v>2</v>
      </c>
      <c r="S163" s="1" t="s">
        <v>238</v>
      </c>
      <c r="T163" s="2">
        <v>60.38</v>
      </c>
      <c r="U163" s="1">
        <v>2</v>
      </c>
      <c r="W163" s="9">
        <f t="shared" si="32"/>
        <v>52.38</v>
      </c>
      <c r="X163" t="s">
        <v>338</v>
      </c>
      <c r="Y163" s="3">
        <f t="shared" si="27"/>
        <v>10</v>
      </c>
      <c r="Z163" s="3">
        <f t="shared" si="25"/>
        <v>0</v>
      </c>
      <c r="AA163" s="3">
        <f t="shared" si="28"/>
        <v>10</v>
      </c>
      <c r="AB163" s="34">
        <f t="shared" si="29"/>
        <v>0</v>
      </c>
      <c r="AC163" s="34">
        <f t="shared" si="30"/>
        <v>10</v>
      </c>
      <c r="AD163" s="35">
        <f t="shared" si="26"/>
        <v>0</v>
      </c>
      <c r="AE163" s="35">
        <f t="shared" si="31"/>
        <v>1</v>
      </c>
    </row>
    <row r="164" spans="1:31" x14ac:dyDescent="0.2">
      <c r="A164" s="3" t="s">
        <v>207</v>
      </c>
      <c r="B164">
        <v>3.4479894282027002</v>
      </c>
      <c r="C164">
        <v>-76.539407564594995</v>
      </c>
      <c r="D164" t="s">
        <v>351</v>
      </c>
      <c r="E164" s="3" t="s">
        <v>251</v>
      </c>
      <c r="F164" s="1" t="s">
        <v>257</v>
      </c>
      <c r="G164" s="1" t="s">
        <v>251</v>
      </c>
      <c r="H164" s="1" t="s">
        <v>263</v>
      </c>
      <c r="I164" s="1" t="s">
        <v>20</v>
      </c>
      <c r="J164" s="1" t="s">
        <v>254</v>
      </c>
      <c r="K164" s="1" t="s">
        <v>218</v>
      </c>
      <c r="L164" s="1" t="s">
        <v>29</v>
      </c>
      <c r="M164" s="1" t="s">
        <v>22</v>
      </c>
      <c r="N164" s="1"/>
      <c r="O164" s="6" t="s">
        <v>343</v>
      </c>
      <c r="P164" s="1" t="s">
        <v>28</v>
      </c>
      <c r="Q164" s="1"/>
      <c r="R164" s="1">
        <v>2</v>
      </c>
      <c r="S164" s="1" t="s">
        <v>238</v>
      </c>
      <c r="T164" s="2">
        <v>26.83</v>
      </c>
      <c r="U164" s="1">
        <v>3</v>
      </c>
      <c r="W164" s="9">
        <f t="shared" si="32"/>
        <v>14.829999999999998</v>
      </c>
      <c r="X164" t="s">
        <v>339</v>
      </c>
      <c r="Y164" s="3">
        <f t="shared" si="27"/>
        <v>2</v>
      </c>
      <c r="Z164" s="3">
        <f>ROUND(Y164*$AI$8,0)</f>
        <v>0</v>
      </c>
      <c r="AA164" s="3">
        <f t="shared" si="28"/>
        <v>2</v>
      </c>
      <c r="AB164" s="34">
        <f t="shared" si="29"/>
        <v>0</v>
      </c>
      <c r="AC164" s="34">
        <f t="shared" si="30"/>
        <v>2</v>
      </c>
      <c r="AD164" s="35">
        <f t="shared" si="26"/>
        <v>0</v>
      </c>
      <c r="AE164" s="35">
        <f t="shared" si="31"/>
        <v>1</v>
      </c>
    </row>
    <row r="165" spans="1:31" x14ac:dyDescent="0.2">
      <c r="A165" s="3" t="s">
        <v>208</v>
      </c>
      <c r="B165">
        <v>3.4483372787498698</v>
      </c>
      <c r="C165">
        <v>-76.539926719256698</v>
      </c>
      <c r="D165" t="s">
        <v>351</v>
      </c>
      <c r="E165" s="3" t="s">
        <v>20</v>
      </c>
      <c r="F165" s="1" t="s">
        <v>253</v>
      </c>
      <c r="G165" s="1" t="s">
        <v>251</v>
      </c>
      <c r="H165" s="1" t="s">
        <v>255</v>
      </c>
      <c r="I165" s="1" t="s">
        <v>251</v>
      </c>
      <c r="J165" s="1" t="s">
        <v>257</v>
      </c>
      <c r="K165" s="1" t="s">
        <v>229</v>
      </c>
      <c r="L165" s="1" t="s">
        <v>21</v>
      </c>
      <c r="M165" s="1"/>
      <c r="N165" s="6" t="s">
        <v>24</v>
      </c>
      <c r="O165" s="6" t="s">
        <v>343</v>
      </c>
      <c r="P165" s="1" t="s">
        <v>28</v>
      </c>
      <c r="Q165" s="1"/>
      <c r="R165" s="1">
        <v>2</v>
      </c>
      <c r="S165" s="1" t="s">
        <v>238</v>
      </c>
      <c r="T165" s="2">
        <v>115.04</v>
      </c>
      <c r="U165" s="1">
        <v>5</v>
      </c>
      <c r="W165" s="9">
        <f t="shared" si="32"/>
        <v>95.04</v>
      </c>
      <c r="X165" t="s">
        <v>293</v>
      </c>
      <c r="Y165" s="3">
        <f t="shared" si="27"/>
        <v>19</v>
      </c>
      <c r="Z165" s="3">
        <f t="shared" si="25"/>
        <v>1</v>
      </c>
      <c r="AA165" s="3">
        <f t="shared" si="28"/>
        <v>18</v>
      </c>
      <c r="AB165" s="34">
        <f t="shared" si="29"/>
        <v>5</v>
      </c>
      <c r="AC165" s="34">
        <f t="shared" si="30"/>
        <v>18</v>
      </c>
      <c r="AD165" s="35">
        <f t="shared" si="26"/>
        <v>0.21739130434782608</v>
      </c>
      <c r="AE165" s="35">
        <f t="shared" si="31"/>
        <v>0.78260869565217395</v>
      </c>
    </row>
    <row r="166" spans="1:31" x14ac:dyDescent="0.2">
      <c r="A166" s="3" t="s">
        <v>209</v>
      </c>
      <c r="B166">
        <v>3.4445606092440499</v>
      </c>
      <c r="C166">
        <v>-76.537145096988198</v>
      </c>
      <c r="D166" t="s">
        <v>351</v>
      </c>
      <c r="E166" s="3" t="s">
        <v>251</v>
      </c>
      <c r="F166" s="1" t="s">
        <v>264</v>
      </c>
      <c r="G166" s="1" t="s">
        <v>20</v>
      </c>
      <c r="H166" s="1" t="s">
        <v>255</v>
      </c>
      <c r="I166" s="1" t="s">
        <v>20</v>
      </c>
      <c r="J166" s="1" t="s">
        <v>257</v>
      </c>
      <c r="K166" s="1" t="s">
        <v>211</v>
      </c>
      <c r="L166" s="1" t="s">
        <v>21</v>
      </c>
      <c r="M166" s="1" t="s">
        <v>28</v>
      </c>
      <c r="N166" s="1"/>
      <c r="O166" s="6" t="s">
        <v>343</v>
      </c>
      <c r="P166" s="1" t="s">
        <v>28</v>
      </c>
      <c r="Q166" s="1"/>
      <c r="R166" s="1">
        <v>2</v>
      </c>
      <c r="S166" s="1" t="s">
        <v>238</v>
      </c>
      <c r="T166" s="2">
        <v>81.96</v>
      </c>
      <c r="U166" s="1">
        <v>2</v>
      </c>
      <c r="W166" s="9">
        <f t="shared" si="32"/>
        <v>73.959999999999994</v>
      </c>
      <c r="X166" t="s">
        <v>340</v>
      </c>
      <c r="Y166" s="3">
        <f t="shared" si="27"/>
        <v>14</v>
      </c>
      <c r="Z166" s="3">
        <f t="shared" si="25"/>
        <v>1</v>
      </c>
      <c r="AA166" s="3">
        <f t="shared" si="28"/>
        <v>13</v>
      </c>
      <c r="AB166" s="34">
        <f t="shared" si="29"/>
        <v>5</v>
      </c>
      <c r="AC166" s="34">
        <f t="shared" si="30"/>
        <v>13</v>
      </c>
      <c r="AD166" s="35">
        <f t="shared" si="26"/>
        <v>0.27777777777777779</v>
      </c>
      <c r="AE166" s="35">
        <f t="shared" si="31"/>
        <v>0.72222222222222221</v>
      </c>
    </row>
    <row r="167" spans="1:31" x14ac:dyDescent="0.2">
      <c r="A167" s="3" t="s">
        <v>210</v>
      </c>
      <c r="B167">
        <v>3.44931088188885</v>
      </c>
      <c r="C167">
        <v>-76.537564592853201</v>
      </c>
      <c r="D167" t="s">
        <v>351</v>
      </c>
      <c r="E167" s="3" t="s">
        <v>20</v>
      </c>
      <c r="F167" s="1" t="s">
        <v>257</v>
      </c>
      <c r="G167" s="1" t="s">
        <v>251</v>
      </c>
      <c r="H167" s="1" t="s">
        <v>255</v>
      </c>
      <c r="I167" s="1" t="s">
        <v>251</v>
      </c>
      <c r="J167" s="1" t="s">
        <v>257</v>
      </c>
      <c r="K167" s="1" t="s">
        <v>229</v>
      </c>
      <c r="L167" s="1" t="s">
        <v>21</v>
      </c>
      <c r="M167" s="1" t="s">
        <v>22</v>
      </c>
      <c r="N167" s="1"/>
      <c r="O167" s="6" t="s">
        <v>343</v>
      </c>
      <c r="P167" s="1" t="s">
        <v>28</v>
      </c>
      <c r="Q167" s="1"/>
      <c r="R167" s="1">
        <v>2</v>
      </c>
      <c r="S167" s="1" t="s">
        <v>238</v>
      </c>
      <c r="T167" s="2">
        <v>61.29</v>
      </c>
      <c r="U167" s="1">
        <v>1</v>
      </c>
      <c r="W167" s="9">
        <f t="shared" si="32"/>
        <v>57.29</v>
      </c>
      <c r="X167" t="s">
        <v>294</v>
      </c>
      <c r="Y167" s="3">
        <f t="shared" si="27"/>
        <v>11</v>
      </c>
      <c r="Z167" s="3">
        <f t="shared" si="25"/>
        <v>1</v>
      </c>
      <c r="AA167" s="3">
        <f t="shared" si="28"/>
        <v>10</v>
      </c>
      <c r="AB167" s="34">
        <f t="shared" si="29"/>
        <v>5</v>
      </c>
      <c r="AC167" s="34">
        <f t="shared" si="30"/>
        <v>10</v>
      </c>
      <c r="AD167" s="35">
        <f t="shared" si="26"/>
        <v>0.33333333333333331</v>
      </c>
      <c r="AE167" s="35">
        <f t="shared" si="31"/>
        <v>0.66666666666666663</v>
      </c>
    </row>
    <row r="168" spans="1:31" x14ac:dyDescent="0.2">
      <c r="A168" s="5" t="s">
        <v>489</v>
      </c>
      <c r="B168">
        <v>3.4468142242817801</v>
      </c>
      <c r="C168">
        <v>-76.541690835779093</v>
      </c>
      <c r="D168" t="s">
        <v>351</v>
      </c>
      <c r="E168" s="3" t="s">
        <v>251</v>
      </c>
      <c r="F168" s="1" t="s">
        <v>260</v>
      </c>
      <c r="G168" s="1" t="s">
        <v>20</v>
      </c>
      <c r="H168" s="1" t="s">
        <v>254</v>
      </c>
      <c r="I168" s="1" t="s">
        <v>251</v>
      </c>
      <c r="J168" s="1" t="s">
        <v>262</v>
      </c>
      <c r="K168" s="1" t="s">
        <v>211</v>
      </c>
      <c r="L168" s="1" t="s">
        <v>29</v>
      </c>
      <c r="M168" s="1" t="s">
        <v>245</v>
      </c>
      <c r="N168" s="1"/>
      <c r="O168" s="6" t="s">
        <v>343</v>
      </c>
      <c r="P168" s="1" t="s">
        <v>27</v>
      </c>
      <c r="Q168" s="1"/>
      <c r="R168" s="1">
        <v>2</v>
      </c>
      <c r="S168" s="1" t="s">
        <v>238</v>
      </c>
      <c r="T168" s="2">
        <v>176.47</v>
      </c>
      <c r="U168" s="1">
        <v>3</v>
      </c>
      <c r="W168" s="9">
        <f t="shared" si="32"/>
        <v>164.47</v>
      </c>
      <c r="X168" t="s">
        <v>341</v>
      </c>
      <c r="Y168" s="3">
        <f t="shared" si="27"/>
        <v>32</v>
      </c>
      <c r="Z168" s="3">
        <f t="shared" si="25"/>
        <v>2</v>
      </c>
      <c r="AA168" s="3">
        <f t="shared" si="28"/>
        <v>30</v>
      </c>
      <c r="AB168" s="34">
        <f t="shared" si="29"/>
        <v>10</v>
      </c>
      <c r="AC168" s="34">
        <f t="shared" si="30"/>
        <v>30</v>
      </c>
      <c r="AD168" s="35">
        <f t="shared" si="26"/>
        <v>0.25</v>
      </c>
      <c r="AE168" s="35">
        <f t="shared" si="31"/>
        <v>0.75</v>
      </c>
    </row>
    <row r="169" spans="1:31" x14ac:dyDescent="0.2">
      <c r="A169" s="3" t="s">
        <v>116</v>
      </c>
      <c r="D169" s="10" t="s">
        <v>352</v>
      </c>
      <c r="E169" s="31" t="s">
        <v>20</v>
      </c>
      <c r="F169" s="32" t="s">
        <v>216</v>
      </c>
      <c r="G169" s="32" t="s">
        <v>31</v>
      </c>
      <c r="H169" s="32" t="s">
        <v>239</v>
      </c>
      <c r="I169" s="32" t="s">
        <v>31</v>
      </c>
      <c r="J169" s="32" t="s">
        <v>242</v>
      </c>
      <c r="K169" s="32" t="s">
        <v>233</v>
      </c>
      <c r="L169" s="32" t="s">
        <v>29</v>
      </c>
      <c r="M169" s="32"/>
      <c r="N169" s="32" t="s">
        <v>24</v>
      </c>
      <c r="O169" s="32" t="s">
        <v>343</v>
      </c>
      <c r="P169" s="32"/>
      <c r="Q169" s="32"/>
      <c r="R169" s="32">
        <v>2</v>
      </c>
      <c r="S169" s="32" t="s">
        <v>238</v>
      </c>
      <c r="T169" s="33">
        <v>77.099999999999994</v>
      </c>
      <c r="U169" s="32">
        <v>2</v>
      </c>
      <c r="V169" s="30"/>
      <c r="W169" s="33">
        <f t="shared" ref="W169:W232" si="33">T169-4*U169</f>
        <v>69.099999999999994</v>
      </c>
      <c r="Y169" s="3">
        <f t="shared" ref="Y169:Y232" si="34">_xlfn.FLOOR.MATH(W169/$AI$2)</f>
        <v>13</v>
      </c>
      <c r="Z169" s="3">
        <f t="shared" si="25"/>
        <v>1</v>
      </c>
      <c r="AA169" s="3">
        <f t="shared" ref="AA169:AA232" si="35">Y169-Z169</f>
        <v>12</v>
      </c>
      <c r="AB169" s="34">
        <f t="shared" ref="AB169:AB186" si="36">Z169*$AI$4</f>
        <v>5</v>
      </c>
      <c r="AC169" s="34">
        <f t="shared" ref="AC169:AC186" si="37">AA169*$AI$3</f>
        <v>12</v>
      </c>
      <c r="AD169" s="35">
        <f t="shared" ref="AD169:AD186" si="38">AB169/(AB169+AC169)</f>
        <v>0.29411764705882354</v>
      </c>
      <c r="AE169" s="35">
        <f t="shared" ref="AE169:AE186" si="39">AC169/(AB169+AC169)</f>
        <v>0.70588235294117652</v>
      </c>
    </row>
    <row r="170" spans="1:31" x14ac:dyDescent="0.2">
      <c r="A170" s="3" t="s">
        <v>117</v>
      </c>
      <c r="D170" s="10" t="s">
        <v>352</v>
      </c>
      <c r="E170" s="31" t="s">
        <v>20</v>
      </c>
      <c r="F170" s="32" t="s">
        <v>243</v>
      </c>
      <c r="G170" s="32" t="s">
        <v>31</v>
      </c>
      <c r="H170" s="32" t="s">
        <v>239</v>
      </c>
      <c r="I170" s="32" t="s">
        <v>31</v>
      </c>
      <c r="J170" s="32" t="s">
        <v>242</v>
      </c>
      <c r="K170" s="32" t="s">
        <v>229</v>
      </c>
      <c r="L170" s="32" t="s">
        <v>29</v>
      </c>
      <c r="M170" s="32" t="s">
        <v>245</v>
      </c>
      <c r="N170" s="32" t="s">
        <v>26</v>
      </c>
      <c r="O170" s="32" t="s">
        <v>343</v>
      </c>
      <c r="P170" s="32" t="s">
        <v>28</v>
      </c>
      <c r="Q170" s="32"/>
      <c r="R170" s="32">
        <v>2</v>
      </c>
      <c r="S170" s="32" t="s">
        <v>238</v>
      </c>
      <c r="T170" s="33">
        <v>100.2</v>
      </c>
      <c r="U170" s="32">
        <v>5</v>
      </c>
      <c r="V170" s="30"/>
      <c r="W170" s="33">
        <f t="shared" si="33"/>
        <v>80.2</v>
      </c>
      <c r="Y170" s="3">
        <f t="shared" si="34"/>
        <v>16</v>
      </c>
      <c r="Z170" s="3">
        <f t="shared" si="25"/>
        <v>1</v>
      </c>
      <c r="AA170" s="3">
        <f t="shared" si="35"/>
        <v>15</v>
      </c>
      <c r="AB170" s="34">
        <f t="shared" si="36"/>
        <v>5</v>
      </c>
      <c r="AC170" s="34">
        <f t="shared" si="37"/>
        <v>15</v>
      </c>
      <c r="AD170" s="35">
        <f t="shared" si="38"/>
        <v>0.25</v>
      </c>
      <c r="AE170" s="35">
        <f t="shared" si="39"/>
        <v>0.75</v>
      </c>
    </row>
    <row r="171" spans="1:31" x14ac:dyDescent="0.2">
      <c r="A171" s="3" t="s">
        <v>118</v>
      </c>
      <c r="D171" s="10" t="s">
        <v>352</v>
      </c>
      <c r="E171" s="31" t="s">
        <v>31</v>
      </c>
      <c r="F171" s="32" t="s">
        <v>240</v>
      </c>
      <c r="G171" s="32" t="s">
        <v>31</v>
      </c>
      <c r="H171" s="32" t="s">
        <v>239</v>
      </c>
      <c r="I171" s="32" t="s">
        <v>20</v>
      </c>
      <c r="J171" s="32" t="s">
        <v>214</v>
      </c>
      <c r="K171" s="32" t="s">
        <v>233</v>
      </c>
      <c r="L171" s="32" t="s">
        <v>21</v>
      </c>
      <c r="M171" s="32" t="s">
        <v>22</v>
      </c>
      <c r="N171" s="32" t="s">
        <v>24</v>
      </c>
      <c r="O171" s="32" t="s">
        <v>246</v>
      </c>
      <c r="P171" s="32" t="s">
        <v>28</v>
      </c>
      <c r="Q171" s="32"/>
      <c r="R171" s="32">
        <v>2</v>
      </c>
      <c r="S171" s="32" t="s">
        <v>238</v>
      </c>
      <c r="T171" s="33">
        <v>65.900000000000006</v>
      </c>
      <c r="U171" s="32">
        <v>3</v>
      </c>
      <c r="V171" s="30"/>
      <c r="W171" s="33">
        <f t="shared" si="33"/>
        <v>53.900000000000006</v>
      </c>
      <c r="Y171" s="3">
        <f t="shared" si="34"/>
        <v>10</v>
      </c>
      <c r="Z171" s="3">
        <f t="shared" si="25"/>
        <v>0</v>
      </c>
      <c r="AA171" s="3">
        <f t="shared" si="35"/>
        <v>10</v>
      </c>
      <c r="AB171" s="34">
        <f t="shared" si="36"/>
        <v>0</v>
      </c>
      <c r="AC171" s="34">
        <f t="shared" si="37"/>
        <v>10</v>
      </c>
      <c r="AD171" s="35">
        <f t="shared" si="38"/>
        <v>0</v>
      </c>
      <c r="AE171" s="35">
        <f t="shared" si="39"/>
        <v>1</v>
      </c>
    </row>
    <row r="172" spans="1:31" x14ac:dyDescent="0.2">
      <c r="A172" s="3" t="s">
        <v>119</v>
      </c>
      <c r="D172" s="10" t="s">
        <v>352</v>
      </c>
      <c r="E172" s="31" t="s">
        <v>31</v>
      </c>
      <c r="F172" s="32" t="s">
        <v>240</v>
      </c>
      <c r="G172" s="32" t="s">
        <v>31</v>
      </c>
      <c r="H172" s="32" t="s">
        <v>240</v>
      </c>
      <c r="I172" s="32" t="s">
        <v>31</v>
      </c>
      <c r="J172" s="32" t="s">
        <v>239</v>
      </c>
      <c r="K172" s="32" t="s">
        <v>233</v>
      </c>
      <c r="L172" s="32" t="s">
        <v>21</v>
      </c>
      <c r="M172" s="32" t="s">
        <v>248</v>
      </c>
      <c r="N172" s="32" t="s">
        <v>24</v>
      </c>
      <c r="O172" s="32" t="s">
        <v>343</v>
      </c>
      <c r="P172" s="32" t="s">
        <v>28</v>
      </c>
      <c r="Q172" s="32"/>
      <c r="R172" s="32">
        <v>2</v>
      </c>
      <c r="S172" s="32" t="s">
        <v>238</v>
      </c>
      <c r="T172" s="33">
        <v>132.5</v>
      </c>
      <c r="U172" s="32">
        <v>1</v>
      </c>
      <c r="V172" s="30"/>
      <c r="W172" s="33">
        <f t="shared" si="33"/>
        <v>128.5</v>
      </c>
      <c r="Y172" s="3">
        <f t="shared" si="34"/>
        <v>25</v>
      </c>
      <c r="Z172" s="3">
        <f t="shared" si="25"/>
        <v>1</v>
      </c>
      <c r="AA172" s="3">
        <f t="shared" si="35"/>
        <v>24</v>
      </c>
      <c r="AB172" s="34">
        <f t="shared" si="36"/>
        <v>5</v>
      </c>
      <c r="AC172" s="34">
        <f t="shared" si="37"/>
        <v>24</v>
      </c>
      <c r="AD172" s="35">
        <f t="shared" si="38"/>
        <v>0.17241379310344829</v>
      </c>
      <c r="AE172" s="35">
        <f t="shared" si="39"/>
        <v>0.82758620689655171</v>
      </c>
    </row>
    <row r="173" spans="1:31" x14ac:dyDescent="0.2">
      <c r="A173" s="3" t="s">
        <v>120</v>
      </c>
      <c r="D173" s="10" t="s">
        <v>352</v>
      </c>
      <c r="E173" s="31" t="s">
        <v>20</v>
      </c>
      <c r="F173" s="32" t="s">
        <v>241</v>
      </c>
      <c r="G173" s="32" t="s">
        <v>31</v>
      </c>
      <c r="H173" s="32" t="s">
        <v>239</v>
      </c>
      <c r="I173" s="32" t="s">
        <v>31</v>
      </c>
      <c r="J173" s="32" t="s">
        <v>242</v>
      </c>
      <c r="K173" s="32" t="s">
        <v>229</v>
      </c>
      <c r="L173" s="32" t="s">
        <v>29</v>
      </c>
      <c r="M173" s="32" t="s">
        <v>245</v>
      </c>
      <c r="N173" s="32" t="s">
        <v>24</v>
      </c>
      <c r="O173" s="32" t="s">
        <v>343</v>
      </c>
      <c r="P173" s="32" t="s">
        <v>28</v>
      </c>
      <c r="Q173" s="32"/>
      <c r="R173" s="32">
        <v>2</v>
      </c>
      <c r="S173" s="32" t="s">
        <v>238</v>
      </c>
      <c r="T173" s="33">
        <v>73.5</v>
      </c>
      <c r="U173" s="32">
        <v>2</v>
      </c>
      <c r="V173" s="30"/>
      <c r="W173" s="33">
        <f t="shared" si="33"/>
        <v>65.5</v>
      </c>
      <c r="Y173" s="3">
        <f t="shared" si="34"/>
        <v>13</v>
      </c>
      <c r="Z173" s="3">
        <f t="shared" si="25"/>
        <v>1</v>
      </c>
      <c r="AA173" s="3">
        <f t="shared" si="35"/>
        <v>12</v>
      </c>
      <c r="AB173" s="34">
        <f t="shared" si="36"/>
        <v>5</v>
      </c>
      <c r="AC173" s="34">
        <f t="shared" si="37"/>
        <v>12</v>
      </c>
      <c r="AD173" s="35">
        <f t="shared" si="38"/>
        <v>0.29411764705882354</v>
      </c>
      <c r="AE173" s="35">
        <f t="shared" si="39"/>
        <v>0.70588235294117652</v>
      </c>
    </row>
    <row r="174" spans="1:31" x14ac:dyDescent="0.2">
      <c r="A174" s="3" t="s">
        <v>121</v>
      </c>
      <c r="D174" s="10" t="s">
        <v>352</v>
      </c>
      <c r="E174" s="31" t="s">
        <v>20</v>
      </c>
      <c r="F174" s="32" t="s">
        <v>216</v>
      </c>
      <c r="G174" s="32" t="s">
        <v>31</v>
      </c>
      <c r="H174" s="32" t="s">
        <v>235</v>
      </c>
      <c r="I174" s="32" t="s">
        <v>31</v>
      </c>
      <c r="J174" s="32" t="s">
        <v>239</v>
      </c>
      <c r="K174" s="32" t="s">
        <v>233</v>
      </c>
      <c r="L174" s="32" t="s">
        <v>21</v>
      </c>
      <c r="M174" s="32" t="s">
        <v>22</v>
      </c>
      <c r="N174" s="32" t="s">
        <v>24</v>
      </c>
      <c r="O174" s="32" t="s">
        <v>343</v>
      </c>
      <c r="P174" s="32" t="s">
        <v>28</v>
      </c>
      <c r="Q174" s="32"/>
      <c r="R174" s="32">
        <v>2</v>
      </c>
      <c r="S174" s="32" t="s">
        <v>238</v>
      </c>
      <c r="T174" s="33">
        <v>88.1</v>
      </c>
      <c r="U174" s="32">
        <v>2</v>
      </c>
      <c r="V174" s="30"/>
      <c r="W174" s="33">
        <f t="shared" si="33"/>
        <v>80.099999999999994</v>
      </c>
      <c r="Y174" s="3">
        <f t="shared" si="34"/>
        <v>16</v>
      </c>
      <c r="Z174" s="3">
        <f t="shared" si="25"/>
        <v>1</v>
      </c>
      <c r="AA174" s="3">
        <f t="shared" si="35"/>
        <v>15</v>
      </c>
      <c r="AB174" s="34">
        <f t="shared" si="36"/>
        <v>5</v>
      </c>
      <c r="AC174" s="34">
        <f t="shared" si="37"/>
        <v>15</v>
      </c>
      <c r="AD174" s="35">
        <f t="shared" si="38"/>
        <v>0.25</v>
      </c>
      <c r="AE174" s="35">
        <f t="shared" si="39"/>
        <v>0.75</v>
      </c>
    </row>
    <row r="175" spans="1:31" x14ac:dyDescent="0.2">
      <c r="A175" s="3" t="s">
        <v>122</v>
      </c>
      <c r="D175" s="10" t="s">
        <v>352</v>
      </c>
      <c r="E175" s="31" t="s">
        <v>20</v>
      </c>
      <c r="F175" s="32" t="s">
        <v>243</v>
      </c>
      <c r="G175" s="32" t="s">
        <v>31</v>
      </c>
      <c r="H175" s="32" t="s">
        <v>235</v>
      </c>
      <c r="I175" s="32" t="s">
        <v>31</v>
      </c>
      <c r="J175" s="32" t="s">
        <v>239</v>
      </c>
      <c r="K175" s="32" t="s">
        <v>229</v>
      </c>
      <c r="L175" s="32" t="s">
        <v>29</v>
      </c>
      <c r="M175" s="32" t="s">
        <v>245</v>
      </c>
      <c r="N175" s="32" t="s">
        <v>26</v>
      </c>
      <c r="O175" s="32" t="s">
        <v>343</v>
      </c>
      <c r="P175" s="32" t="s">
        <v>28</v>
      </c>
      <c r="Q175" s="32"/>
      <c r="R175" s="32">
        <v>2</v>
      </c>
      <c r="S175" s="32" t="s">
        <v>238</v>
      </c>
      <c r="T175" s="33">
        <v>71.3</v>
      </c>
      <c r="U175" s="32">
        <v>5</v>
      </c>
      <c r="V175" s="30"/>
      <c r="W175" s="33">
        <f t="shared" si="33"/>
        <v>51.3</v>
      </c>
      <c r="Y175" s="3">
        <f t="shared" si="34"/>
        <v>10</v>
      </c>
      <c r="Z175" s="3">
        <f t="shared" si="25"/>
        <v>0</v>
      </c>
      <c r="AA175" s="3">
        <f t="shared" si="35"/>
        <v>10</v>
      </c>
      <c r="AB175" s="34">
        <f t="shared" si="36"/>
        <v>0</v>
      </c>
      <c r="AC175" s="34">
        <f t="shared" si="37"/>
        <v>10</v>
      </c>
      <c r="AD175" s="35">
        <f t="shared" si="38"/>
        <v>0</v>
      </c>
      <c r="AE175" s="35">
        <f t="shared" si="39"/>
        <v>1</v>
      </c>
    </row>
    <row r="176" spans="1:31" x14ac:dyDescent="0.2">
      <c r="A176" s="3" t="s">
        <v>123</v>
      </c>
      <c r="D176" s="10" t="s">
        <v>352</v>
      </c>
      <c r="E176" s="31" t="s">
        <v>20</v>
      </c>
      <c r="F176" s="32" t="s">
        <v>216</v>
      </c>
      <c r="G176" s="32" t="s">
        <v>31</v>
      </c>
      <c r="H176" s="32" t="s">
        <v>235</v>
      </c>
      <c r="I176" s="32" t="s">
        <v>31</v>
      </c>
      <c r="J176" s="32" t="s">
        <v>239</v>
      </c>
      <c r="K176" s="32" t="s">
        <v>233</v>
      </c>
      <c r="L176" s="32" t="s">
        <v>29</v>
      </c>
      <c r="M176" s="32" t="s">
        <v>369</v>
      </c>
      <c r="N176" s="32" t="s">
        <v>24</v>
      </c>
      <c r="O176" s="32" t="s">
        <v>343</v>
      </c>
      <c r="P176" s="32" t="s">
        <v>23</v>
      </c>
      <c r="Q176" s="32"/>
      <c r="R176" s="32">
        <v>2</v>
      </c>
      <c r="S176" s="32" t="s">
        <v>238</v>
      </c>
      <c r="T176" s="33">
        <v>86.1</v>
      </c>
      <c r="U176" s="32">
        <v>4</v>
      </c>
      <c r="V176" s="30"/>
      <c r="W176" s="33">
        <f t="shared" si="33"/>
        <v>70.099999999999994</v>
      </c>
      <c r="Y176" s="3">
        <f t="shared" si="34"/>
        <v>14</v>
      </c>
      <c r="Z176" s="3">
        <f t="shared" si="25"/>
        <v>1</v>
      </c>
      <c r="AA176" s="3">
        <f t="shared" si="35"/>
        <v>13</v>
      </c>
      <c r="AB176" s="34">
        <f t="shared" si="36"/>
        <v>5</v>
      </c>
      <c r="AC176" s="34">
        <f t="shared" si="37"/>
        <v>13</v>
      </c>
      <c r="AD176" s="35">
        <f t="shared" si="38"/>
        <v>0.27777777777777779</v>
      </c>
      <c r="AE176" s="35">
        <f t="shared" si="39"/>
        <v>0.72222222222222221</v>
      </c>
    </row>
    <row r="177" spans="1:32" x14ac:dyDescent="0.2">
      <c r="A177" s="3" t="s">
        <v>124</v>
      </c>
      <c r="D177" s="10" t="s">
        <v>352</v>
      </c>
      <c r="E177" s="31" t="s">
        <v>20</v>
      </c>
      <c r="F177" s="32" t="s">
        <v>243</v>
      </c>
      <c r="G177" s="32" t="s">
        <v>31</v>
      </c>
      <c r="H177" s="32" t="s">
        <v>235</v>
      </c>
      <c r="I177" s="32" t="s">
        <v>31</v>
      </c>
      <c r="J177" s="32" t="s">
        <v>239</v>
      </c>
      <c r="K177" s="32" t="s">
        <v>229</v>
      </c>
      <c r="L177" s="32" t="s">
        <v>21</v>
      </c>
      <c r="M177" s="32" t="s">
        <v>245</v>
      </c>
      <c r="N177" s="32" t="s">
        <v>26</v>
      </c>
      <c r="O177" s="32" t="s">
        <v>343</v>
      </c>
      <c r="P177" s="32" t="s">
        <v>28</v>
      </c>
      <c r="Q177" s="32"/>
      <c r="R177" s="32">
        <v>2</v>
      </c>
      <c r="S177" s="32" t="s">
        <v>238</v>
      </c>
      <c r="T177" s="33">
        <v>62.7</v>
      </c>
      <c r="U177" s="32">
        <v>2</v>
      </c>
      <c r="V177" s="30"/>
      <c r="W177" s="33">
        <f t="shared" si="33"/>
        <v>54.7</v>
      </c>
      <c r="Y177" s="3">
        <f t="shared" si="34"/>
        <v>10</v>
      </c>
      <c r="Z177" s="3">
        <f t="shared" si="25"/>
        <v>0</v>
      </c>
      <c r="AA177" s="3">
        <f t="shared" si="35"/>
        <v>10</v>
      </c>
      <c r="AB177" s="34">
        <f t="shared" si="36"/>
        <v>0</v>
      </c>
      <c r="AC177" s="34">
        <f t="shared" si="37"/>
        <v>10</v>
      </c>
      <c r="AD177" s="35">
        <f t="shared" si="38"/>
        <v>0</v>
      </c>
      <c r="AE177" s="35">
        <f t="shared" si="39"/>
        <v>1</v>
      </c>
    </row>
    <row r="178" spans="1:32" x14ac:dyDescent="0.2">
      <c r="A178" s="3" t="s">
        <v>125</v>
      </c>
      <c r="D178" s="10" t="s">
        <v>352</v>
      </c>
      <c r="E178" s="31" t="s">
        <v>20</v>
      </c>
      <c r="F178" s="32" t="s">
        <v>243</v>
      </c>
      <c r="G178" s="32" t="s">
        <v>31</v>
      </c>
      <c r="H178" s="32" t="s">
        <v>239</v>
      </c>
      <c r="I178" s="32" t="s">
        <v>31</v>
      </c>
      <c r="J178" s="32" t="s">
        <v>242</v>
      </c>
      <c r="K178" s="32" t="s">
        <v>229</v>
      </c>
      <c r="L178" s="32" t="s">
        <v>21</v>
      </c>
      <c r="M178" s="32" t="s">
        <v>245</v>
      </c>
      <c r="N178" s="32" t="s">
        <v>26</v>
      </c>
      <c r="O178" s="32" t="s">
        <v>343</v>
      </c>
      <c r="P178" s="32" t="s">
        <v>28</v>
      </c>
      <c r="Q178" s="32"/>
      <c r="R178" s="32">
        <v>2</v>
      </c>
      <c r="S178" s="32" t="s">
        <v>238</v>
      </c>
      <c r="T178" s="33">
        <v>98.4</v>
      </c>
      <c r="U178" s="32">
        <v>2</v>
      </c>
      <c r="V178" s="30"/>
      <c r="W178" s="33">
        <f t="shared" si="33"/>
        <v>90.4</v>
      </c>
      <c r="Y178" s="3">
        <f t="shared" si="34"/>
        <v>18</v>
      </c>
      <c r="Z178" s="3">
        <f t="shared" si="25"/>
        <v>1</v>
      </c>
      <c r="AA178" s="3">
        <f t="shared" si="35"/>
        <v>17</v>
      </c>
      <c r="AB178" s="34">
        <f t="shared" si="36"/>
        <v>5</v>
      </c>
      <c r="AC178" s="34">
        <f t="shared" si="37"/>
        <v>17</v>
      </c>
      <c r="AD178" s="35">
        <f t="shared" si="38"/>
        <v>0.22727272727272727</v>
      </c>
      <c r="AE178" s="35">
        <f t="shared" si="39"/>
        <v>0.77272727272727271</v>
      </c>
    </row>
    <row r="179" spans="1:32" x14ac:dyDescent="0.2">
      <c r="A179" s="3" t="s">
        <v>126</v>
      </c>
      <c r="D179" s="10" t="s">
        <v>352</v>
      </c>
      <c r="E179" s="31" t="s">
        <v>20</v>
      </c>
      <c r="F179" s="32" t="s">
        <v>235</v>
      </c>
      <c r="G179" s="32" t="s">
        <v>31</v>
      </c>
      <c r="H179" s="32" t="s">
        <v>239</v>
      </c>
      <c r="I179" s="32" t="s">
        <v>31</v>
      </c>
      <c r="J179" s="32" t="s">
        <v>242</v>
      </c>
      <c r="K179" s="32" t="s">
        <v>233</v>
      </c>
      <c r="L179" s="32" t="s">
        <v>21</v>
      </c>
      <c r="M179" s="32" t="s">
        <v>245</v>
      </c>
      <c r="N179" s="32" t="s">
        <v>26</v>
      </c>
      <c r="O179" s="32" t="s">
        <v>343</v>
      </c>
      <c r="P179" s="32" t="s">
        <v>23</v>
      </c>
      <c r="Q179" s="32"/>
      <c r="R179" s="32">
        <v>2</v>
      </c>
      <c r="S179" s="32" t="s">
        <v>238</v>
      </c>
      <c r="T179" s="33">
        <v>96.7</v>
      </c>
      <c r="U179" s="32">
        <v>5</v>
      </c>
      <c r="V179" s="30"/>
      <c r="W179" s="33">
        <f t="shared" si="33"/>
        <v>76.7</v>
      </c>
      <c r="Y179" s="3">
        <f t="shared" si="34"/>
        <v>15</v>
      </c>
      <c r="Z179" s="3">
        <f t="shared" si="25"/>
        <v>1</v>
      </c>
      <c r="AA179" s="3">
        <f t="shared" si="35"/>
        <v>14</v>
      </c>
      <c r="AB179" s="34">
        <f t="shared" si="36"/>
        <v>5</v>
      </c>
      <c r="AC179" s="34">
        <f t="shared" si="37"/>
        <v>14</v>
      </c>
      <c r="AD179" s="35">
        <f t="shared" si="38"/>
        <v>0.26315789473684209</v>
      </c>
      <c r="AE179" s="35">
        <f t="shared" si="39"/>
        <v>0.73684210526315785</v>
      </c>
    </row>
    <row r="180" spans="1:32" x14ac:dyDescent="0.2">
      <c r="A180" s="3" t="s">
        <v>127</v>
      </c>
      <c r="D180" s="10" t="s">
        <v>352</v>
      </c>
      <c r="E180" s="31" t="s">
        <v>20</v>
      </c>
      <c r="F180" s="32" t="s">
        <v>235</v>
      </c>
      <c r="G180" s="32" t="s">
        <v>31</v>
      </c>
      <c r="H180" s="32" t="s">
        <v>239</v>
      </c>
      <c r="I180" s="32" t="s">
        <v>31</v>
      </c>
      <c r="J180" s="32" t="s">
        <v>242</v>
      </c>
      <c r="K180" s="32" t="s">
        <v>233</v>
      </c>
      <c r="L180" s="32" t="s">
        <v>29</v>
      </c>
      <c r="M180" s="32" t="s">
        <v>245</v>
      </c>
      <c r="N180" s="32" t="s">
        <v>26</v>
      </c>
      <c r="O180" s="32" t="s">
        <v>343</v>
      </c>
      <c r="P180" s="32" t="s">
        <v>23</v>
      </c>
      <c r="Q180" s="32"/>
      <c r="R180" s="32">
        <v>2</v>
      </c>
      <c r="S180" s="32" t="s">
        <v>238</v>
      </c>
      <c r="T180" s="33">
        <v>93.8</v>
      </c>
      <c r="U180" s="32">
        <v>7</v>
      </c>
      <c r="V180" s="30"/>
      <c r="W180" s="33">
        <f t="shared" si="33"/>
        <v>65.8</v>
      </c>
      <c r="Y180" s="3">
        <f t="shared" si="34"/>
        <v>13</v>
      </c>
      <c r="Z180" s="3">
        <f t="shared" si="25"/>
        <v>1</v>
      </c>
      <c r="AA180" s="3">
        <f t="shared" si="35"/>
        <v>12</v>
      </c>
      <c r="AB180" s="34">
        <f t="shared" si="36"/>
        <v>5</v>
      </c>
      <c r="AC180" s="34">
        <f t="shared" si="37"/>
        <v>12</v>
      </c>
      <c r="AD180" s="35">
        <f t="shared" si="38"/>
        <v>0.29411764705882354</v>
      </c>
      <c r="AE180" s="35">
        <f t="shared" si="39"/>
        <v>0.70588235294117652</v>
      </c>
    </row>
    <row r="181" spans="1:32" x14ac:dyDescent="0.2">
      <c r="A181" s="3" t="s">
        <v>128</v>
      </c>
      <c r="D181" s="10" t="s">
        <v>352</v>
      </c>
      <c r="E181" s="31" t="s">
        <v>20</v>
      </c>
      <c r="F181" s="32" t="s">
        <v>241</v>
      </c>
      <c r="G181" s="32" t="s">
        <v>31</v>
      </c>
      <c r="H181" s="32" t="s">
        <v>239</v>
      </c>
      <c r="I181" s="32" t="s">
        <v>31</v>
      </c>
      <c r="J181" s="32" t="s">
        <v>242</v>
      </c>
      <c r="K181" s="32" t="s">
        <v>229</v>
      </c>
      <c r="L181" s="32" t="s">
        <v>21</v>
      </c>
      <c r="M181" s="32" t="s">
        <v>245</v>
      </c>
      <c r="N181" s="32" t="s">
        <v>24</v>
      </c>
      <c r="O181" s="32" t="s">
        <v>343</v>
      </c>
      <c r="P181" s="32" t="s">
        <v>28</v>
      </c>
      <c r="Q181" s="32"/>
      <c r="R181" s="32">
        <v>2</v>
      </c>
      <c r="S181" s="32" t="s">
        <v>238</v>
      </c>
      <c r="T181" s="33">
        <v>75.3</v>
      </c>
      <c r="U181" s="32">
        <v>3</v>
      </c>
      <c r="V181" s="30"/>
      <c r="W181" s="33">
        <f t="shared" si="33"/>
        <v>63.3</v>
      </c>
      <c r="Y181" s="3">
        <f t="shared" si="34"/>
        <v>12</v>
      </c>
      <c r="Z181" s="3">
        <f t="shared" si="25"/>
        <v>1</v>
      </c>
      <c r="AA181" s="3">
        <f t="shared" si="35"/>
        <v>11</v>
      </c>
      <c r="AB181" s="34">
        <f t="shared" si="36"/>
        <v>5</v>
      </c>
      <c r="AC181" s="34">
        <f t="shared" si="37"/>
        <v>11</v>
      </c>
      <c r="AD181" s="35">
        <f t="shared" si="38"/>
        <v>0.3125</v>
      </c>
      <c r="AE181" s="35">
        <f t="shared" si="39"/>
        <v>0.6875</v>
      </c>
    </row>
    <row r="182" spans="1:32" x14ac:dyDescent="0.2">
      <c r="A182" s="3" t="s">
        <v>129</v>
      </c>
      <c r="D182" s="10" t="s">
        <v>352</v>
      </c>
      <c r="E182" s="31" t="s">
        <v>20</v>
      </c>
      <c r="F182" s="32" t="s">
        <v>216</v>
      </c>
      <c r="G182" s="32" t="s">
        <v>31</v>
      </c>
      <c r="H182" s="32" t="s">
        <v>239</v>
      </c>
      <c r="I182" s="32" t="s">
        <v>31</v>
      </c>
      <c r="J182" s="32" t="s">
        <v>242</v>
      </c>
      <c r="K182" s="32" t="s">
        <v>233</v>
      </c>
      <c r="L182" s="32" t="s">
        <v>21</v>
      </c>
      <c r="M182" s="32"/>
      <c r="N182" s="32" t="s">
        <v>24</v>
      </c>
      <c r="O182" s="32" t="s">
        <v>343</v>
      </c>
      <c r="P182" s="32"/>
      <c r="Q182" s="32"/>
      <c r="R182" s="32">
        <v>2</v>
      </c>
      <c r="S182" s="32" t="s">
        <v>238</v>
      </c>
      <c r="T182" s="33">
        <v>83.7</v>
      </c>
      <c r="U182" s="32">
        <v>3</v>
      </c>
      <c r="V182" s="30"/>
      <c r="W182" s="33">
        <f t="shared" si="33"/>
        <v>71.7</v>
      </c>
      <c r="Y182" s="3">
        <f t="shared" si="34"/>
        <v>14</v>
      </c>
      <c r="Z182" s="3">
        <f t="shared" si="25"/>
        <v>1</v>
      </c>
      <c r="AA182" s="3">
        <f t="shared" si="35"/>
        <v>13</v>
      </c>
      <c r="AB182" s="34">
        <f t="shared" si="36"/>
        <v>5</v>
      </c>
      <c r="AC182" s="34">
        <f t="shared" si="37"/>
        <v>13</v>
      </c>
      <c r="AD182" s="35">
        <f t="shared" si="38"/>
        <v>0.27777777777777779</v>
      </c>
      <c r="AE182" s="35">
        <f t="shared" si="39"/>
        <v>0.72222222222222221</v>
      </c>
    </row>
    <row r="183" spans="1:32" x14ac:dyDescent="0.2">
      <c r="A183" s="3" t="s">
        <v>130</v>
      </c>
      <c r="D183" s="10" t="s">
        <v>352</v>
      </c>
      <c r="E183" s="31" t="s">
        <v>20</v>
      </c>
      <c r="F183" s="32" t="s">
        <v>214</v>
      </c>
      <c r="G183" s="32" t="s">
        <v>31</v>
      </c>
      <c r="H183" s="32" t="s">
        <v>235</v>
      </c>
      <c r="I183" s="32" t="s">
        <v>31</v>
      </c>
      <c r="J183" s="32" t="s">
        <v>239</v>
      </c>
      <c r="K183" s="32" t="s">
        <v>233</v>
      </c>
      <c r="L183" s="32" t="s">
        <v>29</v>
      </c>
      <c r="M183" s="32" t="s">
        <v>247</v>
      </c>
      <c r="N183" s="32" t="s">
        <v>24</v>
      </c>
      <c r="O183" s="32" t="s">
        <v>343</v>
      </c>
      <c r="P183" s="32" t="s">
        <v>28</v>
      </c>
      <c r="Q183" s="32"/>
      <c r="R183" s="32">
        <v>2</v>
      </c>
      <c r="S183" s="32" t="s">
        <v>238</v>
      </c>
      <c r="T183" s="33">
        <v>45.1</v>
      </c>
      <c r="U183" s="32">
        <v>0</v>
      </c>
      <c r="V183" s="30"/>
      <c r="W183" s="33">
        <f t="shared" si="33"/>
        <v>45.1</v>
      </c>
      <c r="Y183" s="3">
        <f t="shared" si="34"/>
        <v>9</v>
      </c>
      <c r="Z183" s="3">
        <f t="shared" si="25"/>
        <v>0</v>
      </c>
      <c r="AA183" s="3">
        <f t="shared" si="35"/>
        <v>9</v>
      </c>
      <c r="AB183" s="34">
        <f t="shared" si="36"/>
        <v>0</v>
      </c>
      <c r="AC183" s="34">
        <f t="shared" si="37"/>
        <v>9</v>
      </c>
      <c r="AD183" s="35">
        <f t="shared" si="38"/>
        <v>0</v>
      </c>
      <c r="AE183" s="35">
        <f t="shared" si="39"/>
        <v>1</v>
      </c>
    </row>
    <row r="184" spans="1:32" x14ac:dyDescent="0.2">
      <c r="A184" s="3" t="s">
        <v>131</v>
      </c>
      <c r="D184" s="10" t="s">
        <v>352</v>
      </c>
      <c r="E184" s="31" t="s">
        <v>31</v>
      </c>
      <c r="F184" s="32" t="s">
        <v>240</v>
      </c>
      <c r="G184" s="32" t="s">
        <v>20</v>
      </c>
      <c r="H184" s="32" t="s">
        <v>214</v>
      </c>
      <c r="I184" s="32" t="s">
        <v>31</v>
      </c>
      <c r="J184" s="32" t="s">
        <v>239</v>
      </c>
      <c r="K184" s="32" t="s">
        <v>233</v>
      </c>
      <c r="L184" s="32" t="s">
        <v>29</v>
      </c>
      <c r="M184" s="32" t="s">
        <v>247</v>
      </c>
      <c r="N184" s="32" t="s">
        <v>24</v>
      </c>
      <c r="O184" s="32" t="s">
        <v>246</v>
      </c>
      <c r="P184" s="32" t="s">
        <v>28</v>
      </c>
      <c r="Q184" s="32"/>
      <c r="R184" s="32">
        <v>2</v>
      </c>
      <c r="S184" s="32" t="s">
        <v>238</v>
      </c>
      <c r="T184" s="33">
        <v>34.5</v>
      </c>
      <c r="U184" s="32">
        <v>0</v>
      </c>
      <c r="V184" s="30"/>
      <c r="W184" s="33">
        <f t="shared" si="33"/>
        <v>34.5</v>
      </c>
      <c r="Y184" s="3">
        <f t="shared" si="34"/>
        <v>6</v>
      </c>
      <c r="Z184" s="3">
        <f t="shared" si="25"/>
        <v>0</v>
      </c>
      <c r="AA184" s="3">
        <f t="shared" si="35"/>
        <v>6</v>
      </c>
      <c r="AB184" s="34">
        <f t="shared" si="36"/>
        <v>0</v>
      </c>
      <c r="AC184" s="34">
        <f t="shared" si="37"/>
        <v>6</v>
      </c>
      <c r="AD184" s="35">
        <f t="shared" si="38"/>
        <v>0</v>
      </c>
      <c r="AE184" s="35">
        <f t="shared" si="39"/>
        <v>1</v>
      </c>
    </row>
    <row r="185" spans="1:32" x14ac:dyDescent="0.2">
      <c r="A185" s="3" t="s">
        <v>132</v>
      </c>
      <c r="D185" s="10" t="s">
        <v>352</v>
      </c>
      <c r="E185" s="31" t="s">
        <v>31</v>
      </c>
      <c r="F185" s="32" t="s">
        <v>239</v>
      </c>
      <c r="G185" s="32" t="s">
        <v>31</v>
      </c>
      <c r="H185" s="32" t="s">
        <v>244</v>
      </c>
      <c r="I185" s="32" t="s">
        <v>20</v>
      </c>
      <c r="J185" s="32" t="s">
        <v>243</v>
      </c>
      <c r="K185" s="32" t="s">
        <v>218</v>
      </c>
      <c r="L185" s="32" t="s">
        <v>29</v>
      </c>
      <c r="M185" s="32" t="s">
        <v>28</v>
      </c>
      <c r="N185" s="32" t="s">
        <v>26</v>
      </c>
      <c r="O185" s="32" t="s">
        <v>343</v>
      </c>
      <c r="P185" s="32" t="s">
        <v>23</v>
      </c>
      <c r="Q185" s="32"/>
      <c r="R185" s="32">
        <v>3</v>
      </c>
      <c r="S185" s="32" t="s">
        <v>238</v>
      </c>
      <c r="T185" s="33">
        <v>133.6</v>
      </c>
      <c r="U185" s="32">
        <v>3</v>
      </c>
      <c r="V185" s="30"/>
      <c r="W185" s="33">
        <f t="shared" si="33"/>
        <v>121.6</v>
      </c>
      <c r="Y185" s="3">
        <f t="shared" si="34"/>
        <v>24</v>
      </c>
      <c r="Z185" s="3">
        <f t="shared" si="25"/>
        <v>1</v>
      </c>
      <c r="AA185" s="3">
        <f t="shared" si="35"/>
        <v>23</v>
      </c>
      <c r="AB185" s="34">
        <f t="shared" si="36"/>
        <v>5</v>
      </c>
      <c r="AC185" s="34">
        <f t="shared" si="37"/>
        <v>23</v>
      </c>
      <c r="AD185" s="35">
        <f t="shared" si="38"/>
        <v>0.17857142857142858</v>
      </c>
      <c r="AE185" s="35">
        <f t="shared" si="39"/>
        <v>0.8214285714285714</v>
      </c>
    </row>
    <row r="186" spans="1:32" x14ac:dyDescent="0.2">
      <c r="A186" s="3" t="s">
        <v>133</v>
      </c>
      <c r="D186" s="10" t="s">
        <v>352</v>
      </c>
      <c r="E186" s="31" t="s">
        <v>31</v>
      </c>
      <c r="F186" s="32" t="s">
        <v>239</v>
      </c>
      <c r="G186" s="32" t="s">
        <v>31</v>
      </c>
      <c r="H186" s="32" t="s">
        <v>244</v>
      </c>
      <c r="I186" s="32" t="s">
        <v>20</v>
      </c>
      <c r="J186" s="32" t="s">
        <v>235</v>
      </c>
      <c r="K186" s="32" t="s">
        <v>218</v>
      </c>
      <c r="L186" s="32" t="s">
        <v>21</v>
      </c>
      <c r="M186" s="32" t="s">
        <v>28</v>
      </c>
      <c r="N186" s="32" t="s">
        <v>26</v>
      </c>
      <c r="O186" s="32" t="s">
        <v>343</v>
      </c>
      <c r="P186" s="32" t="s">
        <v>23</v>
      </c>
      <c r="Q186" s="32"/>
      <c r="R186" s="32">
        <v>3</v>
      </c>
      <c r="S186" s="32" t="s">
        <v>238</v>
      </c>
      <c r="T186" s="33">
        <v>94.2</v>
      </c>
      <c r="U186" s="32">
        <v>3</v>
      </c>
      <c r="V186" s="30"/>
      <c r="W186" s="33">
        <f t="shared" si="33"/>
        <v>82.2</v>
      </c>
      <c r="Y186" s="3">
        <f t="shared" si="34"/>
        <v>16</v>
      </c>
      <c r="Z186" s="3">
        <f t="shared" si="25"/>
        <v>1</v>
      </c>
      <c r="AA186" s="3">
        <f t="shared" si="35"/>
        <v>15</v>
      </c>
      <c r="AB186" s="34">
        <f t="shared" si="36"/>
        <v>5</v>
      </c>
      <c r="AC186" s="34">
        <f t="shared" si="37"/>
        <v>15</v>
      </c>
      <c r="AD186" s="35">
        <f t="shared" si="38"/>
        <v>0.25</v>
      </c>
      <c r="AE186" s="35">
        <f t="shared" si="39"/>
        <v>0.75</v>
      </c>
    </row>
    <row r="187" spans="1:32" x14ac:dyDescent="0.2">
      <c r="A187" s="3" t="s">
        <v>370</v>
      </c>
      <c r="B187" s="3">
        <v>3.4501925369913602</v>
      </c>
      <c r="C187" s="3">
        <v>-76.540746228018705</v>
      </c>
      <c r="D187" s="3" t="s">
        <v>488</v>
      </c>
      <c r="E187" s="3" t="s">
        <v>251</v>
      </c>
      <c r="F187" s="3" t="s">
        <v>253</v>
      </c>
      <c r="G187" s="3" t="s">
        <v>31</v>
      </c>
      <c r="H187" s="3" t="s">
        <v>371</v>
      </c>
      <c r="I187" s="3" t="s">
        <v>251</v>
      </c>
      <c r="J187" s="3" t="s">
        <v>254</v>
      </c>
      <c r="K187" s="3" t="s">
        <v>211</v>
      </c>
      <c r="L187" s="3" t="s">
        <v>29</v>
      </c>
      <c r="M187" s="3" t="s">
        <v>245</v>
      </c>
      <c r="N187" s="3" t="s">
        <v>26</v>
      </c>
      <c r="O187" s="3" t="s">
        <v>343</v>
      </c>
      <c r="P187" s="3" t="s">
        <v>28</v>
      </c>
      <c r="Q187" s="3"/>
      <c r="R187" s="3">
        <v>2</v>
      </c>
      <c r="S187" s="3" t="s">
        <v>238</v>
      </c>
      <c r="T187" s="3">
        <v>39.299999999999997</v>
      </c>
      <c r="U187" s="3">
        <v>1</v>
      </c>
      <c r="W187" s="33">
        <f t="shared" si="33"/>
        <v>35.299999999999997</v>
      </c>
      <c r="X187" t="s">
        <v>372</v>
      </c>
      <c r="Y187" s="3">
        <f t="shared" si="34"/>
        <v>7</v>
      </c>
      <c r="Z187" s="3">
        <f t="shared" si="25"/>
        <v>0</v>
      </c>
      <c r="AA187" s="3">
        <f t="shared" si="35"/>
        <v>7</v>
      </c>
      <c r="AB187" s="34">
        <f t="shared" ref="AB187:AB238" si="40">Z187*$AI$4</f>
        <v>0</v>
      </c>
      <c r="AC187" s="34">
        <f t="shared" ref="AC187:AC238" si="41">AA187*$AI$3</f>
        <v>7</v>
      </c>
      <c r="AD187" s="35">
        <f t="shared" ref="AD187:AD229" si="42">AB187/(AB187+AC187)</f>
        <v>0</v>
      </c>
      <c r="AE187" s="35">
        <f t="shared" ref="AE187:AE229" si="43">AC187/(AB187+AC187)</f>
        <v>1</v>
      </c>
      <c r="AF187" s="3"/>
    </row>
    <row r="188" spans="1:32" x14ac:dyDescent="0.2">
      <c r="A188" s="3" t="s">
        <v>373</v>
      </c>
      <c r="B188" s="3">
        <v>3.44989974887979</v>
      </c>
      <c r="C188" s="3">
        <v>-76.540461465412093</v>
      </c>
      <c r="D188" s="3" t="s">
        <v>488</v>
      </c>
      <c r="E188" s="3" t="s">
        <v>20</v>
      </c>
      <c r="F188" s="3" t="s">
        <v>253</v>
      </c>
      <c r="G188" s="3" t="s">
        <v>251</v>
      </c>
      <c r="H188" s="3" t="s">
        <v>253</v>
      </c>
      <c r="I188" s="3" t="s">
        <v>251</v>
      </c>
      <c r="J188" s="3" t="s">
        <v>254</v>
      </c>
      <c r="K188" s="3" t="s">
        <v>233</v>
      </c>
      <c r="L188" s="3" t="s">
        <v>29</v>
      </c>
      <c r="M188" s="3" t="s">
        <v>245</v>
      </c>
      <c r="N188" s="3" t="s">
        <v>26</v>
      </c>
      <c r="O188" s="3" t="s">
        <v>343</v>
      </c>
      <c r="P188" s="3" t="s">
        <v>28</v>
      </c>
      <c r="Q188" s="3"/>
      <c r="R188" s="3">
        <v>2</v>
      </c>
      <c r="S188" s="3" t="s">
        <v>238</v>
      </c>
      <c r="T188" s="3">
        <v>62.44</v>
      </c>
      <c r="U188" s="3">
        <v>1</v>
      </c>
      <c r="W188" s="33">
        <f t="shared" si="33"/>
        <v>58.44</v>
      </c>
      <c r="X188" t="s">
        <v>374</v>
      </c>
      <c r="Y188" s="3">
        <f t="shared" si="34"/>
        <v>11</v>
      </c>
      <c r="Z188" s="3">
        <f t="shared" si="25"/>
        <v>1</v>
      </c>
      <c r="AA188" s="3">
        <f t="shared" si="35"/>
        <v>10</v>
      </c>
      <c r="AB188" s="34">
        <f t="shared" si="40"/>
        <v>5</v>
      </c>
      <c r="AC188" s="34">
        <f t="shared" si="41"/>
        <v>10</v>
      </c>
      <c r="AD188" s="35">
        <f t="shared" si="42"/>
        <v>0.33333333333333331</v>
      </c>
      <c r="AE188" s="35">
        <f t="shared" si="43"/>
        <v>0.66666666666666663</v>
      </c>
      <c r="AF188" s="3"/>
    </row>
    <row r="189" spans="1:32" x14ac:dyDescent="0.2">
      <c r="A189" s="3" t="s">
        <v>375</v>
      </c>
      <c r="B189" s="3">
        <v>3.4495782779513999</v>
      </c>
      <c r="C189" s="3">
        <v>-76.540746215060906</v>
      </c>
      <c r="D189" s="3" t="s">
        <v>488</v>
      </c>
      <c r="E189" s="3" t="s">
        <v>251</v>
      </c>
      <c r="F189" s="3" t="s">
        <v>254</v>
      </c>
      <c r="G189" s="3" t="s">
        <v>251</v>
      </c>
      <c r="H189" s="3" t="s">
        <v>253</v>
      </c>
      <c r="I189" s="3" t="s">
        <v>251</v>
      </c>
      <c r="J189" s="3" t="s">
        <v>255</v>
      </c>
      <c r="K189" s="3" t="s">
        <v>211</v>
      </c>
      <c r="L189" s="3" t="s">
        <v>21</v>
      </c>
      <c r="M189" s="3" t="s">
        <v>245</v>
      </c>
      <c r="N189" s="3" t="s">
        <v>26</v>
      </c>
      <c r="O189" s="3" t="s">
        <v>343</v>
      </c>
      <c r="P189" s="3" t="s">
        <v>28</v>
      </c>
      <c r="Q189" s="3"/>
      <c r="R189" s="3">
        <v>2</v>
      </c>
      <c r="S189" s="3" t="s">
        <v>238</v>
      </c>
      <c r="T189" s="3">
        <v>51.17</v>
      </c>
      <c r="U189" s="3">
        <v>1</v>
      </c>
      <c r="W189" s="33">
        <f t="shared" si="33"/>
        <v>47.17</v>
      </c>
      <c r="X189" t="s">
        <v>376</v>
      </c>
      <c r="Y189" s="3">
        <f t="shared" si="34"/>
        <v>9</v>
      </c>
      <c r="Z189" s="3">
        <f t="shared" si="25"/>
        <v>0</v>
      </c>
      <c r="AA189" s="3">
        <f t="shared" si="35"/>
        <v>9</v>
      </c>
      <c r="AB189" s="34">
        <f t="shared" si="40"/>
        <v>0</v>
      </c>
      <c r="AC189" s="34">
        <f t="shared" si="41"/>
        <v>9</v>
      </c>
      <c r="AD189" s="35">
        <f t="shared" si="42"/>
        <v>0</v>
      </c>
      <c r="AE189" s="35">
        <f t="shared" si="43"/>
        <v>1</v>
      </c>
      <c r="AF189" s="3"/>
    </row>
    <row r="190" spans="1:32" x14ac:dyDescent="0.2">
      <c r="A190" s="3" t="s">
        <v>377</v>
      </c>
      <c r="B190" s="3">
        <v>3.4498997367763198</v>
      </c>
      <c r="C190" s="3">
        <v>-76.541030978271806</v>
      </c>
      <c r="D190" s="3" t="s">
        <v>488</v>
      </c>
      <c r="E190" s="3" t="s">
        <v>20</v>
      </c>
      <c r="F190" s="3" t="s">
        <v>256</v>
      </c>
      <c r="G190" s="3" t="s">
        <v>20</v>
      </c>
      <c r="H190" s="3" t="s">
        <v>253</v>
      </c>
      <c r="I190" s="3" t="s">
        <v>251</v>
      </c>
      <c r="J190" s="3" t="s">
        <v>254</v>
      </c>
      <c r="K190" s="3" t="s">
        <v>229</v>
      </c>
      <c r="L190" s="3" t="s">
        <v>29</v>
      </c>
      <c r="M190" s="3" t="s">
        <v>245</v>
      </c>
      <c r="N190" s="3" t="s">
        <v>26</v>
      </c>
      <c r="O190" s="3" t="s">
        <v>343</v>
      </c>
      <c r="P190" s="3" t="s">
        <v>23</v>
      </c>
      <c r="Q190" s="3"/>
      <c r="R190" s="3">
        <v>2</v>
      </c>
      <c r="S190" s="3" t="s">
        <v>238</v>
      </c>
      <c r="T190" s="3">
        <v>45.78</v>
      </c>
      <c r="U190" s="3">
        <v>0</v>
      </c>
      <c r="W190" s="33">
        <f t="shared" si="33"/>
        <v>45.78</v>
      </c>
      <c r="X190" t="s">
        <v>378</v>
      </c>
      <c r="Y190" s="3">
        <f t="shared" si="34"/>
        <v>9</v>
      </c>
      <c r="Z190" s="3">
        <f t="shared" si="25"/>
        <v>0</v>
      </c>
      <c r="AA190" s="3">
        <f t="shared" si="35"/>
        <v>9</v>
      </c>
      <c r="AB190" s="34">
        <f t="shared" si="40"/>
        <v>0</v>
      </c>
      <c r="AC190" s="34">
        <f t="shared" si="41"/>
        <v>9</v>
      </c>
      <c r="AD190" s="35">
        <f t="shared" si="42"/>
        <v>0</v>
      </c>
      <c r="AE190" s="35">
        <f t="shared" si="43"/>
        <v>1</v>
      </c>
      <c r="AF190" s="3"/>
    </row>
    <row r="191" spans="1:32" x14ac:dyDescent="0.2">
      <c r="A191" s="3" t="s">
        <v>379</v>
      </c>
      <c r="B191" s="3">
        <v>3.45012653559884</v>
      </c>
      <c r="C191" s="3">
        <v>-76.544034898711104</v>
      </c>
      <c r="D191" s="3" t="s">
        <v>488</v>
      </c>
      <c r="E191" s="3" t="s">
        <v>251</v>
      </c>
      <c r="F191" s="3" t="s">
        <v>380</v>
      </c>
      <c r="G191" s="3" t="s">
        <v>251</v>
      </c>
      <c r="H191" s="3" t="s">
        <v>256</v>
      </c>
      <c r="I191" s="3" t="s">
        <v>251</v>
      </c>
      <c r="J191" s="3" t="s">
        <v>381</v>
      </c>
      <c r="K191" s="3" t="s">
        <v>211</v>
      </c>
      <c r="L191" s="3" t="s">
        <v>29</v>
      </c>
      <c r="M191" s="3" t="s">
        <v>245</v>
      </c>
      <c r="N191" s="3" t="s">
        <v>26</v>
      </c>
      <c r="O191" s="3" t="s">
        <v>343</v>
      </c>
      <c r="P191" s="3" t="s">
        <v>28</v>
      </c>
      <c r="Q191" s="3"/>
      <c r="R191" s="3">
        <v>2</v>
      </c>
      <c r="S191" s="3" t="s">
        <v>238</v>
      </c>
      <c r="T191" s="3">
        <v>66.040000000000006</v>
      </c>
      <c r="U191" s="3">
        <v>3</v>
      </c>
      <c r="W191" s="33">
        <f t="shared" si="33"/>
        <v>54.040000000000006</v>
      </c>
      <c r="X191" t="s">
        <v>382</v>
      </c>
      <c r="Y191" s="3">
        <f t="shared" si="34"/>
        <v>10</v>
      </c>
      <c r="Z191" s="3">
        <f t="shared" si="25"/>
        <v>0</v>
      </c>
      <c r="AA191" s="3">
        <f t="shared" si="35"/>
        <v>10</v>
      </c>
      <c r="AB191" s="34">
        <f t="shared" si="40"/>
        <v>0</v>
      </c>
      <c r="AC191" s="34">
        <f t="shared" si="41"/>
        <v>10</v>
      </c>
      <c r="AD191" s="35">
        <f t="shared" si="42"/>
        <v>0</v>
      </c>
      <c r="AE191" s="35">
        <f t="shared" si="43"/>
        <v>1</v>
      </c>
      <c r="AF191" s="3"/>
    </row>
    <row r="192" spans="1:32" x14ac:dyDescent="0.2">
      <c r="A192" s="3" t="s">
        <v>383</v>
      </c>
      <c r="B192" s="3">
        <v>3.4498470881336498</v>
      </c>
      <c r="C192" s="3">
        <v>-76.543732849965394</v>
      </c>
      <c r="D192" s="3" t="s">
        <v>488</v>
      </c>
      <c r="E192" s="3" t="s">
        <v>20</v>
      </c>
      <c r="F192" s="3" t="s">
        <v>255</v>
      </c>
      <c r="G192" s="3" t="s">
        <v>20</v>
      </c>
      <c r="H192" s="3" t="s">
        <v>384</v>
      </c>
      <c r="I192" s="3" t="s">
        <v>20</v>
      </c>
      <c r="J192" s="3" t="s">
        <v>254</v>
      </c>
      <c r="K192" s="3" t="s">
        <v>233</v>
      </c>
      <c r="L192" s="3" t="s">
        <v>29</v>
      </c>
      <c r="M192" s="3" t="s">
        <v>22</v>
      </c>
      <c r="N192" s="3" t="s">
        <v>26</v>
      </c>
      <c r="O192" s="3" t="s">
        <v>343</v>
      </c>
      <c r="P192" s="3" t="s">
        <v>28</v>
      </c>
      <c r="Q192" s="3"/>
      <c r="R192" s="3">
        <v>2</v>
      </c>
      <c r="S192" s="3" t="s">
        <v>238</v>
      </c>
      <c r="T192" s="3">
        <v>50.82</v>
      </c>
      <c r="U192" s="3">
        <v>2</v>
      </c>
      <c r="W192" s="33">
        <f t="shared" si="33"/>
        <v>42.82</v>
      </c>
      <c r="X192" t="s">
        <v>385</v>
      </c>
      <c r="Y192" s="3">
        <f t="shared" si="34"/>
        <v>8</v>
      </c>
      <c r="Z192" s="3">
        <f t="shared" si="25"/>
        <v>0</v>
      </c>
      <c r="AA192" s="3">
        <f t="shared" si="35"/>
        <v>8</v>
      </c>
      <c r="AB192" s="34">
        <f t="shared" si="40"/>
        <v>0</v>
      </c>
      <c r="AC192" s="34">
        <f t="shared" si="41"/>
        <v>8</v>
      </c>
      <c r="AD192" s="35">
        <f t="shared" si="42"/>
        <v>0</v>
      </c>
      <c r="AE192" s="35">
        <f t="shared" si="43"/>
        <v>1</v>
      </c>
      <c r="AF192" s="3"/>
    </row>
    <row r="193" spans="1:32" x14ac:dyDescent="0.2">
      <c r="A193" s="3" t="s">
        <v>386</v>
      </c>
      <c r="B193" s="3">
        <v>3.449610367072101</v>
      </c>
      <c r="C193" s="3">
        <v>-76.544034886048493</v>
      </c>
      <c r="D193" s="3" t="s">
        <v>488</v>
      </c>
      <c r="E193" s="3" t="s">
        <v>251</v>
      </c>
      <c r="F193" s="3" t="s">
        <v>381</v>
      </c>
      <c r="G193" s="3" t="s">
        <v>251</v>
      </c>
      <c r="H193" s="3" t="s">
        <v>254</v>
      </c>
      <c r="I193" s="3" t="s">
        <v>20</v>
      </c>
      <c r="J193" s="3" t="s">
        <v>255</v>
      </c>
      <c r="K193" s="3" t="s">
        <v>218</v>
      </c>
      <c r="L193" s="3" t="s">
        <v>29</v>
      </c>
      <c r="M193" s="3" t="s">
        <v>245</v>
      </c>
      <c r="N193" s="3" t="s">
        <v>26</v>
      </c>
      <c r="O193" s="3" t="s">
        <v>343</v>
      </c>
      <c r="P193" s="3" t="s">
        <v>28</v>
      </c>
      <c r="Q193" s="3"/>
      <c r="R193" s="3">
        <v>2</v>
      </c>
      <c r="S193" s="3" t="s">
        <v>238</v>
      </c>
      <c r="T193" s="3">
        <v>62.73</v>
      </c>
      <c r="U193" s="3">
        <v>1</v>
      </c>
      <c r="W193" s="33">
        <f t="shared" si="33"/>
        <v>58.73</v>
      </c>
      <c r="X193" t="s">
        <v>387</v>
      </c>
      <c r="Y193" s="3">
        <f t="shared" si="34"/>
        <v>11</v>
      </c>
      <c r="Z193" s="3">
        <f t="shared" si="25"/>
        <v>1</v>
      </c>
      <c r="AA193" s="3">
        <f t="shared" si="35"/>
        <v>10</v>
      </c>
      <c r="AB193" s="34">
        <f t="shared" si="40"/>
        <v>5</v>
      </c>
      <c r="AC193" s="34">
        <f t="shared" si="41"/>
        <v>10</v>
      </c>
      <c r="AD193" s="35">
        <f t="shared" si="42"/>
        <v>0.33333333333333331</v>
      </c>
      <c r="AE193" s="35">
        <f t="shared" si="43"/>
        <v>0.66666666666666663</v>
      </c>
      <c r="AF193" s="3"/>
    </row>
    <row r="194" spans="1:32" x14ac:dyDescent="0.2">
      <c r="A194" s="3" t="s">
        <v>388</v>
      </c>
      <c r="B194" s="3">
        <v>3.4498470732036601</v>
      </c>
      <c r="C194" s="3">
        <v>-76.5443369337452</v>
      </c>
      <c r="D194" s="3" t="s">
        <v>488</v>
      </c>
      <c r="E194" s="3" t="s">
        <v>20</v>
      </c>
      <c r="F194" s="3" t="s">
        <v>257</v>
      </c>
      <c r="G194" s="3" t="s">
        <v>251</v>
      </c>
      <c r="H194" s="3" t="s">
        <v>381</v>
      </c>
      <c r="I194" s="3" t="s">
        <v>20</v>
      </c>
      <c r="J194" s="3" t="s">
        <v>255</v>
      </c>
      <c r="K194" s="3" t="s">
        <v>224</v>
      </c>
      <c r="L194" s="3" t="s">
        <v>29</v>
      </c>
      <c r="M194" s="3"/>
      <c r="N194" s="3" t="s">
        <v>24</v>
      </c>
      <c r="O194" s="3" t="s">
        <v>343</v>
      </c>
      <c r="P194" s="3"/>
      <c r="Q194" s="3"/>
      <c r="R194" s="3">
        <v>2</v>
      </c>
      <c r="S194" s="3" t="s">
        <v>224</v>
      </c>
      <c r="T194" s="3">
        <v>52.16</v>
      </c>
      <c r="U194" s="3">
        <v>0</v>
      </c>
      <c r="W194" s="33">
        <f t="shared" si="33"/>
        <v>52.16</v>
      </c>
      <c r="X194" t="s">
        <v>389</v>
      </c>
      <c r="Y194" s="3">
        <f t="shared" si="34"/>
        <v>10</v>
      </c>
      <c r="Z194" s="3">
        <f t="shared" si="25"/>
        <v>0</v>
      </c>
      <c r="AA194" s="3">
        <f t="shared" si="35"/>
        <v>10</v>
      </c>
      <c r="AB194" s="34">
        <f t="shared" si="40"/>
        <v>0</v>
      </c>
      <c r="AC194" s="34">
        <f t="shared" si="41"/>
        <v>10</v>
      </c>
      <c r="AD194" s="35">
        <f t="shared" si="42"/>
        <v>0</v>
      </c>
      <c r="AE194" s="35">
        <f t="shared" si="43"/>
        <v>1</v>
      </c>
      <c r="AF194" s="3"/>
    </row>
    <row r="195" spans="1:32" x14ac:dyDescent="0.2">
      <c r="A195" s="3" t="s">
        <v>390</v>
      </c>
      <c r="B195" s="3">
        <v>3.4503054377405902</v>
      </c>
      <c r="C195" s="3">
        <v>-76.540583873835701</v>
      </c>
      <c r="D195" s="3" t="s">
        <v>488</v>
      </c>
      <c r="E195" s="3" t="s">
        <v>251</v>
      </c>
      <c r="F195" s="3" t="s">
        <v>253</v>
      </c>
      <c r="G195" s="3" t="s">
        <v>31</v>
      </c>
      <c r="H195" s="3" t="s">
        <v>371</v>
      </c>
      <c r="I195" s="3" t="s">
        <v>20</v>
      </c>
      <c r="J195" s="3" t="s">
        <v>391</v>
      </c>
      <c r="K195" s="3" t="s">
        <v>211</v>
      </c>
      <c r="L195" s="3" t="s">
        <v>21</v>
      </c>
      <c r="M195" s="3" t="s">
        <v>247</v>
      </c>
      <c r="N195" s="3" t="s">
        <v>26</v>
      </c>
      <c r="O195" s="3" t="s">
        <v>343</v>
      </c>
      <c r="P195" s="3" t="s">
        <v>28</v>
      </c>
      <c r="Q195" s="3"/>
      <c r="R195" s="3">
        <v>2</v>
      </c>
      <c r="S195" s="3" t="s">
        <v>238</v>
      </c>
      <c r="T195" s="3">
        <v>49.64</v>
      </c>
      <c r="U195" s="3">
        <v>1</v>
      </c>
      <c r="W195" s="33">
        <f t="shared" si="33"/>
        <v>45.64</v>
      </c>
      <c r="X195" t="s">
        <v>392</v>
      </c>
      <c r="Y195" s="3">
        <f t="shared" si="34"/>
        <v>9</v>
      </c>
      <c r="Z195" s="3">
        <f t="shared" ref="Z195:Z238" si="44">ROUND(Y195*$AI$8,0)</f>
        <v>0</v>
      </c>
      <c r="AA195" s="3">
        <f t="shared" si="35"/>
        <v>9</v>
      </c>
      <c r="AB195" s="34">
        <f t="shared" si="40"/>
        <v>0</v>
      </c>
      <c r="AC195" s="34">
        <f t="shared" si="41"/>
        <v>9</v>
      </c>
      <c r="AD195" s="35">
        <f t="shared" si="42"/>
        <v>0</v>
      </c>
      <c r="AE195" s="35">
        <f t="shared" si="43"/>
        <v>1</v>
      </c>
      <c r="AF195" s="3"/>
    </row>
    <row r="196" spans="1:32" x14ac:dyDescent="0.2">
      <c r="A196" s="3" t="s">
        <v>393</v>
      </c>
      <c r="B196" s="3">
        <v>3.45043779188111</v>
      </c>
      <c r="C196" s="3">
        <v>-76.540757251739507</v>
      </c>
      <c r="D196" s="3" t="s">
        <v>488</v>
      </c>
      <c r="E196" s="3" t="s">
        <v>20</v>
      </c>
      <c r="F196" s="3" t="s">
        <v>257</v>
      </c>
      <c r="G196" s="3" t="s">
        <v>31</v>
      </c>
      <c r="H196" s="3" t="s">
        <v>371</v>
      </c>
      <c r="I196" s="3" t="s">
        <v>251</v>
      </c>
      <c r="J196" s="3" t="s">
        <v>253</v>
      </c>
      <c r="K196" s="3" t="s">
        <v>233</v>
      </c>
      <c r="L196" s="3" t="s">
        <v>21</v>
      </c>
      <c r="M196" s="3" t="s">
        <v>247</v>
      </c>
      <c r="N196" s="3" t="s">
        <v>26</v>
      </c>
      <c r="O196" s="3" t="s">
        <v>343</v>
      </c>
      <c r="P196" s="3" t="s">
        <v>28</v>
      </c>
      <c r="Q196" s="3"/>
      <c r="R196" s="3">
        <v>2</v>
      </c>
      <c r="S196" s="3" t="s">
        <v>238</v>
      </c>
      <c r="T196" s="3">
        <v>49.64</v>
      </c>
      <c r="U196" s="3">
        <v>1</v>
      </c>
      <c r="W196" s="33">
        <f t="shared" si="33"/>
        <v>45.64</v>
      </c>
      <c r="X196" t="s">
        <v>394</v>
      </c>
      <c r="Y196" s="3">
        <f t="shared" si="34"/>
        <v>9</v>
      </c>
      <c r="Z196" s="3">
        <f t="shared" si="44"/>
        <v>0</v>
      </c>
      <c r="AA196" s="3">
        <f t="shared" si="35"/>
        <v>9</v>
      </c>
      <c r="AB196" s="34">
        <f t="shared" si="40"/>
        <v>0</v>
      </c>
      <c r="AC196" s="34">
        <f t="shared" si="41"/>
        <v>9</v>
      </c>
      <c r="AD196" s="35">
        <f t="shared" si="42"/>
        <v>0</v>
      </c>
      <c r="AE196" s="35">
        <f t="shared" si="43"/>
        <v>1</v>
      </c>
      <c r="AF196" s="3"/>
    </row>
    <row r="197" spans="1:32" x14ac:dyDescent="0.2">
      <c r="A197" s="3" t="s">
        <v>395</v>
      </c>
      <c r="B197" s="3">
        <v>3.45005695246611</v>
      </c>
      <c r="C197" s="3">
        <v>-76.543223707536896</v>
      </c>
      <c r="D197" s="3" t="s">
        <v>488</v>
      </c>
      <c r="E197" s="3" t="s">
        <v>20</v>
      </c>
      <c r="F197" s="3" t="s">
        <v>254</v>
      </c>
      <c r="G197" s="3" t="s">
        <v>251</v>
      </c>
      <c r="H197" s="3" t="s">
        <v>254</v>
      </c>
      <c r="I197" s="3" t="s">
        <v>396</v>
      </c>
      <c r="J197" s="3" t="s">
        <v>397</v>
      </c>
      <c r="K197" s="3" t="s">
        <v>211</v>
      </c>
      <c r="L197" s="3" t="s">
        <v>29</v>
      </c>
      <c r="M197" s="3" t="s">
        <v>28</v>
      </c>
      <c r="N197" s="3" t="s">
        <v>26</v>
      </c>
      <c r="O197" s="3" t="s">
        <v>343</v>
      </c>
      <c r="P197" s="3" t="s">
        <v>23</v>
      </c>
      <c r="Q197" s="3"/>
      <c r="R197" s="3">
        <v>2</v>
      </c>
      <c r="S197" s="3" t="s">
        <v>238</v>
      </c>
      <c r="T197" s="3">
        <v>50.8</v>
      </c>
      <c r="U197" s="3">
        <v>0</v>
      </c>
      <c r="W197" s="33">
        <f t="shared" si="33"/>
        <v>50.8</v>
      </c>
      <c r="X197" t="s">
        <v>398</v>
      </c>
      <c r="Y197" s="3">
        <f t="shared" si="34"/>
        <v>10</v>
      </c>
      <c r="Z197" s="3">
        <f t="shared" si="44"/>
        <v>0</v>
      </c>
      <c r="AA197" s="3">
        <f t="shared" si="35"/>
        <v>10</v>
      </c>
      <c r="AB197" s="34">
        <f t="shared" si="40"/>
        <v>0</v>
      </c>
      <c r="AC197" s="34">
        <f t="shared" si="41"/>
        <v>10</v>
      </c>
      <c r="AD197" s="35">
        <f t="shared" si="42"/>
        <v>0</v>
      </c>
      <c r="AE197" s="35">
        <f t="shared" si="43"/>
        <v>1</v>
      </c>
      <c r="AF197" s="3"/>
    </row>
    <row r="198" spans="1:32" x14ac:dyDescent="0.2">
      <c r="A198" s="3" t="s">
        <v>399</v>
      </c>
      <c r="B198" s="3">
        <v>3.44973545545739</v>
      </c>
      <c r="C198" s="3">
        <v>-76.542901670122902</v>
      </c>
      <c r="D198" s="3" t="s">
        <v>488</v>
      </c>
      <c r="E198" s="3" t="s">
        <v>20</v>
      </c>
      <c r="F198" s="3" t="s">
        <v>254</v>
      </c>
      <c r="G198" s="3" t="s">
        <v>251</v>
      </c>
      <c r="H198" s="3" t="s">
        <v>254</v>
      </c>
      <c r="I198" s="3" t="s">
        <v>400</v>
      </c>
      <c r="J198" s="3" t="s">
        <v>400</v>
      </c>
      <c r="K198" s="3" t="s">
        <v>229</v>
      </c>
      <c r="L198" s="3" t="s">
        <v>21</v>
      </c>
      <c r="M198" s="3" t="s">
        <v>28</v>
      </c>
      <c r="N198" s="3" t="s">
        <v>26</v>
      </c>
      <c r="O198" s="3" t="s">
        <v>343</v>
      </c>
      <c r="P198" s="3" t="s">
        <v>23</v>
      </c>
      <c r="Q198" s="3"/>
      <c r="R198" s="3">
        <v>2</v>
      </c>
      <c r="S198" s="3" t="s">
        <v>238</v>
      </c>
      <c r="T198" s="3">
        <v>28.56</v>
      </c>
      <c r="U198" s="3">
        <v>0</v>
      </c>
      <c r="W198" s="33">
        <f t="shared" si="33"/>
        <v>28.56</v>
      </c>
      <c r="X198" t="s">
        <v>398</v>
      </c>
      <c r="Y198" s="3">
        <f t="shared" si="34"/>
        <v>5</v>
      </c>
      <c r="Z198" s="3">
        <f t="shared" si="44"/>
        <v>0</v>
      </c>
      <c r="AA198" s="3">
        <f t="shared" si="35"/>
        <v>5</v>
      </c>
      <c r="AB198" s="34">
        <f t="shared" si="40"/>
        <v>0</v>
      </c>
      <c r="AC198" s="34">
        <f t="shared" si="41"/>
        <v>5</v>
      </c>
      <c r="AD198" s="35">
        <f t="shared" si="42"/>
        <v>0</v>
      </c>
      <c r="AE198" s="35">
        <f t="shared" si="43"/>
        <v>1</v>
      </c>
      <c r="AF198" s="3"/>
    </row>
    <row r="199" spans="1:32" x14ac:dyDescent="0.2">
      <c r="A199" s="3" t="s">
        <v>401</v>
      </c>
      <c r="B199" s="3">
        <v>3.4495057669014102</v>
      </c>
      <c r="C199" s="3">
        <v>-76.543223694482805</v>
      </c>
      <c r="D199" s="3" t="s">
        <v>488</v>
      </c>
      <c r="E199" s="3" t="s">
        <v>251</v>
      </c>
      <c r="F199" s="3" t="s">
        <v>381</v>
      </c>
      <c r="G199" s="3" t="s">
        <v>20</v>
      </c>
      <c r="H199" s="3" t="s">
        <v>254</v>
      </c>
      <c r="I199" s="3" t="s">
        <v>251</v>
      </c>
      <c r="J199" s="3" t="s">
        <v>402</v>
      </c>
      <c r="K199" s="3" t="s">
        <v>218</v>
      </c>
      <c r="L199" s="3" t="s">
        <v>29</v>
      </c>
      <c r="M199" s="3" t="s">
        <v>245</v>
      </c>
      <c r="N199" s="3" t="s">
        <v>26</v>
      </c>
      <c r="O199" s="3" t="s">
        <v>343</v>
      </c>
      <c r="P199" s="3" t="s">
        <v>28</v>
      </c>
      <c r="Q199" s="3"/>
      <c r="R199" s="3">
        <v>2</v>
      </c>
      <c r="S199" s="3" t="s">
        <v>238</v>
      </c>
      <c r="T199" s="3">
        <v>57.82</v>
      </c>
      <c r="U199" s="3">
        <v>1</v>
      </c>
      <c r="W199" s="33">
        <f t="shared" si="33"/>
        <v>53.82</v>
      </c>
      <c r="X199" t="s">
        <v>403</v>
      </c>
      <c r="Y199" s="3">
        <f t="shared" si="34"/>
        <v>10</v>
      </c>
      <c r="Z199" s="3">
        <f t="shared" si="44"/>
        <v>0</v>
      </c>
      <c r="AA199" s="3">
        <f t="shared" si="35"/>
        <v>10</v>
      </c>
      <c r="AB199" s="34">
        <f t="shared" si="40"/>
        <v>0</v>
      </c>
      <c r="AC199" s="34">
        <f t="shared" si="41"/>
        <v>10</v>
      </c>
      <c r="AD199" s="35">
        <f t="shared" si="42"/>
        <v>0</v>
      </c>
      <c r="AE199" s="35">
        <f t="shared" si="43"/>
        <v>1</v>
      </c>
      <c r="AF199" s="3"/>
    </row>
    <row r="200" spans="1:32" x14ac:dyDescent="0.2">
      <c r="A200" s="3" t="s">
        <v>404</v>
      </c>
      <c r="B200" s="3">
        <v>3.4497354400895102</v>
      </c>
      <c r="C200" s="3">
        <v>-76.543545729721501</v>
      </c>
      <c r="D200" s="3" t="s">
        <v>488</v>
      </c>
      <c r="E200" s="3" t="s">
        <v>20</v>
      </c>
      <c r="F200" s="3" t="s">
        <v>255</v>
      </c>
      <c r="G200" s="3" t="s">
        <v>251</v>
      </c>
      <c r="H200" s="3" t="s">
        <v>381</v>
      </c>
      <c r="I200" s="3" t="s">
        <v>20</v>
      </c>
      <c r="J200" s="3" t="s">
        <v>254</v>
      </c>
      <c r="K200" s="3" t="s">
        <v>233</v>
      </c>
      <c r="L200" s="3" t="s">
        <v>21</v>
      </c>
      <c r="M200" s="3" t="s">
        <v>22</v>
      </c>
      <c r="N200" s="3" t="s">
        <v>26</v>
      </c>
      <c r="O200" s="3" t="s">
        <v>343</v>
      </c>
      <c r="P200" s="3" t="s">
        <v>28</v>
      </c>
      <c r="Q200" s="3"/>
      <c r="R200" s="3">
        <v>2</v>
      </c>
      <c r="S200" s="3" t="s">
        <v>238</v>
      </c>
      <c r="T200" s="3">
        <v>47.24</v>
      </c>
      <c r="U200" s="3">
        <v>2</v>
      </c>
      <c r="W200" s="33">
        <f t="shared" si="33"/>
        <v>39.24</v>
      </c>
      <c r="X200" t="s">
        <v>405</v>
      </c>
      <c r="Y200" s="3">
        <f t="shared" si="34"/>
        <v>7</v>
      </c>
      <c r="Z200" s="3">
        <f t="shared" si="44"/>
        <v>0</v>
      </c>
      <c r="AA200" s="3">
        <f t="shared" si="35"/>
        <v>7</v>
      </c>
      <c r="AB200" s="34">
        <f t="shared" si="40"/>
        <v>0</v>
      </c>
      <c r="AC200" s="34">
        <f t="shared" si="41"/>
        <v>7</v>
      </c>
      <c r="AD200" s="35">
        <f t="shared" si="42"/>
        <v>0</v>
      </c>
      <c r="AE200" s="35">
        <f t="shared" si="43"/>
        <v>1</v>
      </c>
      <c r="AF200" s="3"/>
    </row>
    <row r="201" spans="1:32" x14ac:dyDescent="0.2">
      <c r="A201" s="3" t="s">
        <v>406</v>
      </c>
      <c r="B201" s="3">
        <v>3.45100567898624</v>
      </c>
      <c r="C201" s="3">
        <v>-76.541757285774494</v>
      </c>
      <c r="D201" s="3" t="s">
        <v>488</v>
      </c>
      <c r="E201" s="3" t="s">
        <v>20</v>
      </c>
      <c r="F201" s="3" t="s">
        <v>253</v>
      </c>
      <c r="G201" s="3" t="s">
        <v>251</v>
      </c>
      <c r="H201" s="3" t="s">
        <v>253</v>
      </c>
      <c r="I201" s="3" t="s">
        <v>31</v>
      </c>
      <c r="J201" s="3" t="s">
        <v>371</v>
      </c>
      <c r="K201" s="3" t="s">
        <v>233</v>
      </c>
      <c r="L201" s="3" t="s">
        <v>29</v>
      </c>
      <c r="M201" s="3" t="s">
        <v>28</v>
      </c>
      <c r="N201" s="3" t="s">
        <v>26</v>
      </c>
      <c r="O201" s="3" t="s">
        <v>343</v>
      </c>
      <c r="P201" s="3" t="s">
        <v>28</v>
      </c>
      <c r="Q201" s="3"/>
      <c r="R201" s="3">
        <v>2</v>
      </c>
      <c r="S201" s="3" t="s">
        <v>238</v>
      </c>
      <c r="T201" s="3">
        <v>45.52</v>
      </c>
      <c r="U201" s="3">
        <v>2</v>
      </c>
      <c r="W201" s="33">
        <f t="shared" si="33"/>
        <v>37.520000000000003</v>
      </c>
      <c r="X201" t="s">
        <v>407</v>
      </c>
      <c r="Y201" s="3">
        <f t="shared" si="34"/>
        <v>7</v>
      </c>
      <c r="Z201" s="3">
        <f t="shared" si="44"/>
        <v>0</v>
      </c>
      <c r="AA201" s="3">
        <f t="shared" si="35"/>
        <v>7</v>
      </c>
      <c r="AB201" s="34">
        <f t="shared" si="40"/>
        <v>0</v>
      </c>
      <c r="AC201" s="34">
        <f t="shared" si="41"/>
        <v>7</v>
      </c>
      <c r="AD201" s="35">
        <f t="shared" si="42"/>
        <v>0</v>
      </c>
      <c r="AE201" s="35">
        <f t="shared" si="43"/>
        <v>1</v>
      </c>
      <c r="AF201" s="3"/>
    </row>
    <row r="202" spans="1:32" x14ac:dyDescent="0.2">
      <c r="A202" s="3" t="s">
        <v>408</v>
      </c>
      <c r="B202" s="3">
        <v>3.4508492706177498</v>
      </c>
      <c r="C202" s="3">
        <v>-76.542098623726901</v>
      </c>
      <c r="D202" s="3" t="s">
        <v>488</v>
      </c>
      <c r="E202" s="3" t="s">
        <v>251</v>
      </c>
      <c r="F202" s="3" t="s">
        <v>253</v>
      </c>
      <c r="G202" s="3" t="s">
        <v>251</v>
      </c>
      <c r="H202" s="3" t="s">
        <v>256</v>
      </c>
      <c r="I202" s="3" t="s">
        <v>20</v>
      </c>
      <c r="J202" s="3" t="s">
        <v>253</v>
      </c>
      <c r="K202" s="3" t="s">
        <v>211</v>
      </c>
      <c r="L202" s="3" t="s">
        <v>21</v>
      </c>
      <c r="M202" s="3"/>
      <c r="N202" s="3" t="s">
        <v>24</v>
      </c>
      <c r="O202" s="3" t="s">
        <v>343</v>
      </c>
      <c r="P202" s="3"/>
      <c r="Q202" s="3"/>
      <c r="R202" s="3">
        <v>2</v>
      </c>
      <c r="S202" s="3" t="s">
        <v>238</v>
      </c>
      <c r="T202" s="3">
        <v>66.78</v>
      </c>
      <c r="U202" s="3">
        <v>3</v>
      </c>
      <c r="W202" s="33">
        <f t="shared" si="33"/>
        <v>54.78</v>
      </c>
      <c r="X202" t="s">
        <v>409</v>
      </c>
      <c r="Y202" s="3">
        <f t="shared" si="34"/>
        <v>10</v>
      </c>
      <c r="Z202" s="3">
        <f t="shared" si="44"/>
        <v>0</v>
      </c>
      <c r="AA202" s="3">
        <f t="shared" si="35"/>
        <v>10</v>
      </c>
      <c r="AB202" s="34">
        <f t="shared" si="40"/>
        <v>0</v>
      </c>
      <c r="AC202" s="34">
        <f t="shared" si="41"/>
        <v>10</v>
      </c>
      <c r="AD202" s="35">
        <f t="shared" si="42"/>
        <v>0</v>
      </c>
      <c r="AE202" s="35">
        <f t="shared" si="43"/>
        <v>1</v>
      </c>
      <c r="AF202" s="3"/>
    </row>
    <row r="203" spans="1:32" x14ac:dyDescent="0.2">
      <c r="A203" s="3" t="s">
        <v>410</v>
      </c>
      <c r="B203" s="3">
        <v>3.4492365048590199</v>
      </c>
      <c r="C203" s="3">
        <v>-76.542489566754895</v>
      </c>
      <c r="D203" s="3" t="s">
        <v>488</v>
      </c>
      <c r="E203" s="3" t="s">
        <v>20</v>
      </c>
      <c r="F203" s="3" t="s">
        <v>384</v>
      </c>
      <c r="G203" s="3" t="s">
        <v>20</v>
      </c>
      <c r="H203" s="3" t="s">
        <v>254</v>
      </c>
      <c r="I203" s="3" t="s">
        <v>20</v>
      </c>
      <c r="J203" s="3" t="s">
        <v>391</v>
      </c>
      <c r="K203" s="3" t="s">
        <v>218</v>
      </c>
      <c r="L203" s="3" t="s">
        <v>21</v>
      </c>
      <c r="M203" s="3" t="s">
        <v>245</v>
      </c>
      <c r="N203" s="3" t="s">
        <v>26</v>
      </c>
      <c r="O203" s="3" t="s">
        <v>343</v>
      </c>
      <c r="P203" s="3" t="s">
        <v>23</v>
      </c>
      <c r="Q203" s="3"/>
      <c r="R203" s="3">
        <v>2</v>
      </c>
      <c r="S203" s="3" t="s">
        <v>238</v>
      </c>
      <c r="T203" s="3">
        <v>59.8</v>
      </c>
      <c r="U203" s="3">
        <v>1</v>
      </c>
      <c r="W203" s="33">
        <f t="shared" si="33"/>
        <v>55.8</v>
      </c>
      <c r="X203" t="s">
        <v>411</v>
      </c>
      <c r="Y203" s="3">
        <f t="shared" si="34"/>
        <v>11</v>
      </c>
      <c r="Z203" s="3">
        <f t="shared" si="44"/>
        <v>1</v>
      </c>
      <c r="AA203" s="3">
        <f t="shared" si="35"/>
        <v>10</v>
      </c>
      <c r="AB203" s="34">
        <f t="shared" si="40"/>
        <v>5</v>
      </c>
      <c r="AC203" s="34">
        <f t="shared" si="41"/>
        <v>10</v>
      </c>
      <c r="AD203" s="35">
        <f t="shared" si="42"/>
        <v>0.33333333333333331</v>
      </c>
      <c r="AE203" s="35">
        <f t="shared" si="43"/>
        <v>0.66666666666666663</v>
      </c>
      <c r="AF203" s="3"/>
    </row>
    <row r="204" spans="1:32" x14ac:dyDescent="0.2">
      <c r="A204" s="3" t="s">
        <v>412</v>
      </c>
      <c r="B204" s="3">
        <v>3.4491164688078402</v>
      </c>
      <c r="C204" s="3">
        <v>-76.5427789002878</v>
      </c>
      <c r="D204" s="3" t="s">
        <v>488</v>
      </c>
      <c r="E204" s="3" t="s">
        <v>251</v>
      </c>
      <c r="F204" s="3" t="s">
        <v>381</v>
      </c>
      <c r="G204" s="3" t="s">
        <v>251</v>
      </c>
      <c r="H204" s="3" t="s">
        <v>254</v>
      </c>
      <c r="I204" s="3" t="s">
        <v>251</v>
      </c>
      <c r="J204" s="3" t="s">
        <v>255</v>
      </c>
      <c r="K204" s="3" t="s">
        <v>229</v>
      </c>
      <c r="L204" s="3" t="s">
        <v>29</v>
      </c>
      <c r="M204" s="3" t="s">
        <v>247</v>
      </c>
      <c r="N204" s="3" t="s">
        <v>26</v>
      </c>
      <c r="O204" s="3" t="s">
        <v>343</v>
      </c>
      <c r="P204" s="3" t="s">
        <v>23</v>
      </c>
      <c r="Q204" s="3"/>
      <c r="R204" s="3">
        <v>2</v>
      </c>
      <c r="S204" s="3" t="s">
        <v>238</v>
      </c>
      <c r="T204" s="3">
        <v>31.48</v>
      </c>
      <c r="U204" s="3">
        <v>0</v>
      </c>
      <c r="W204" s="33">
        <f t="shared" si="33"/>
        <v>31.48</v>
      </c>
      <c r="X204" t="s">
        <v>413</v>
      </c>
      <c r="Y204" s="3">
        <f t="shared" si="34"/>
        <v>6</v>
      </c>
      <c r="Z204" s="3">
        <f t="shared" si="44"/>
        <v>0</v>
      </c>
      <c r="AA204" s="3">
        <f t="shared" si="35"/>
        <v>6</v>
      </c>
      <c r="AB204" s="34">
        <f t="shared" si="40"/>
        <v>0</v>
      </c>
      <c r="AC204" s="34">
        <f t="shared" si="41"/>
        <v>6</v>
      </c>
      <c r="AD204" s="35">
        <f t="shared" si="42"/>
        <v>0</v>
      </c>
      <c r="AE204" s="35">
        <f t="shared" si="43"/>
        <v>1</v>
      </c>
      <c r="AF204" s="3"/>
    </row>
    <row r="205" spans="1:32" x14ac:dyDescent="0.2">
      <c r="A205" s="3" t="s">
        <v>414</v>
      </c>
      <c r="B205" s="3">
        <v>3.4507443158241702</v>
      </c>
      <c r="C205" s="3">
        <v>-76.542278851595597</v>
      </c>
      <c r="D205" s="3" t="s">
        <v>488</v>
      </c>
      <c r="E205" s="3" t="s">
        <v>251</v>
      </c>
      <c r="F205" s="3" t="s">
        <v>253</v>
      </c>
      <c r="G205" s="3" t="s">
        <v>251</v>
      </c>
      <c r="H205" s="3" t="s">
        <v>256</v>
      </c>
      <c r="I205" s="3" t="s">
        <v>251</v>
      </c>
      <c r="J205" s="3" t="s">
        <v>254</v>
      </c>
      <c r="K205" s="3" t="s">
        <v>211</v>
      </c>
      <c r="L205" s="3" t="s">
        <v>29</v>
      </c>
      <c r="M205" s="3" t="s">
        <v>22</v>
      </c>
      <c r="N205" s="3" t="s">
        <v>26</v>
      </c>
      <c r="O205" s="3" t="s">
        <v>343</v>
      </c>
      <c r="P205" s="3" t="s">
        <v>28</v>
      </c>
      <c r="Q205" s="3"/>
      <c r="R205" s="3">
        <v>2</v>
      </c>
      <c r="S205" s="3" t="s">
        <v>238</v>
      </c>
      <c r="T205" s="3">
        <v>61.58</v>
      </c>
      <c r="U205" s="3">
        <v>1</v>
      </c>
      <c r="W205" s="33">
        <f t="shared" si="33"/>
        <v>57.58</v>
      </c>
      <c r="X205" t="s">
        <v>415</v>
      </c>
      <c r="Y205" s="3">
        <f t="shared" si="34"/>
        <v>11</v>
      </c>
      <c r="Z205" s="3">
        <f t="shared" si="44"/>
        <v>1</v>
      </c>
      <c r="AA205" s="3">
        <f t="shared" si="35"/>
        <v>10</v>
      </c>
      <c r="AB205" s="34">
        <f t="shared" si="40"/>
        <v>5</v>
      </c>
      <c r="AC205" s="34">
        <f t="shared" si="41"/>
        <v>10</v>
      </c>
      <c r="AD205" s="35">
        <f t="shared" si="42"/>
        <v>0.33333333333333331</v>
      </c>
      <c r="AE205" s="35">
        <f t="shared" si="43"/>
        <v>0.66666666666666663</v>
      </c>
      <c r="AF205" s="3"/>
    </row>
    <row r="206" spans="1:32" x14ac:dyDescent="0.2">
      <c r="A206" s="3" t="s">
        <v>416</v>
      </c>
      <c r="B206" s="3">
        <v>3.4504950153682099</v>
      </c>
      <c r="C206" s="3">
        <v>-76.541925392891102</v>
      </c>
      <c r="D206" s="3" t="s">
        <v>488</v>
      </c>
      <c r="E206" s="3" t="s">
        <v>20</v>
      </c>
      <c r="F206" s="3" t="s">
        <v>253</v>
      </c>
      <c r="G206" s="3" t="s">
        <v>251</v>
      </c>
      <c r="H206" s="3" t="s">
        <v>253</v>
      </c>
      <c r="I206" s="3" t="s">
        <v>251</v>
      </c>
      <c r="J206" s="3" t="s">
        <v>253</v>
      </c>
      <c r="K206" s="3" t="s">
        <v>229</v>
      </c>
      <c r="L206" s="3" t="s">
        <v>29</v>
      </c>
      <c r="M206" s="3"/>
      <c r="N206" s="3" t="s">
        <v>24</v>
      </c>
      <c r="O206" s="3" t="s">
        <v>343</v>
      </c>
      <c r="P206" s="3"/>
      <c r="Q206" s="3"/>
      <c r="R206" s="3">
        <v>2</v>
      </c>
      <c r="S206" s="3" t="s">
        <v>238</v>
      </c>
      <c r="T206" s="3">
        <v>48.54</v>
      </c>
      <c r="U206" s="3">
        <v>2</v>
      </c>
      <c r="W206" s="33">
        <f t="shared" si="33"/>
        <v>40.54</v>
      </c>
      <c r="X206" t="s">
        <v>417</v>
      </c>
      <c r="Y206" s="3">
        <f t="shared" si="34"/>
        <v>8</v>
      </c>
      <c r="Z206" s="3">
        <f t="shared" si="44"/>
        <v>0</v>
      </c>
      <c r="AA206" s="3">
        <f t="shared" si="35"/>
        <v>8</v>
      </c>
      <c r="AB206" s="34">
        <f t="shared" si="40"/>
        <v>0</v>
      </c>
      <c r="AC206" s="34">
        <f t="shared" si="41"/>
        <v>8</v>
      </c>
      <c r="AD206" s="35">
        <f t="shared" si="42"/>
        <v>0</v>
      </c>
      <c r="AE206" s="35">
        <f t="shared" si="43"/>
        <v>1</v>
      </c>
      <c r="AF206" s="3"/>
    </row>
    <row r="207" spans="1:32" x14ac:dyDescent="0.2">
      <c r="A207" s="3" t="s">
        <v>418</v>
      </c>
      <c r="B207" s="3">
        <v>3.4501480570735299</v>
      </c>
      <c r="C207" s="3">
        <v>-76.542278838060199</v>
      </c>
      <c r="D207" s="3" t="s">
        <v>488</v>
      </c>
      <c r="E207" s="3" t="s">
        <v>251</v>
      </c>
      <c r="F207" s="3" t="s">
        <v>254</v>
      </c>
      <c r="G207" s="3" t="s">
        <v>251</v>
      </c>
      <c r="H207" s="3" t="s">
        <v>253</v>
      </c>
      <c r="I207" s="3" t="s">
        <v>20</v>
      </c>
      <c r="J207" s="3" t="s">
        <v>253</v>
      </c>
      <c r="K207" s="3" t="s">
        <v>211</v>
      </c>
      <c r="L207" s="3" t="s">
        <v>21</v>
      </c>
      <c r="M207" s="3" t="s">
        <v>28</v>
      </c>
      <c r="N207" s="3" t="s">
        <v>26</v>
      </c>
      <c r="O207" s="3" t="s">
        <v>343</v>
      </c>
      <c r="P207" s="3" t="s">
        <v>23</v>
      </c>
      <c r="Q207" s="3"/>
      <c r="R207" s="3">
        <v>2</v>
      </c>
      <c r="S207" s="3" t="s">
        <v>238</v>
      </c>
      <c r="T207" s="3">
        <v>36.08</v>
      </c>
      <c r="U207" s="3">
        <v>0</v>
      </c>
      <c r="W207" s="33">
        <f t="shared" si="33"/>
        <v>36.08</v>
      </c>
      <c r="X207" t="s">
        <v>419</v>
      </c>
      <c r="Y207" s="3">
        <f t="shared" si="34"/>
        <v>7</v>
      </c>
      <c r="Z207" s="3">
        <f t="shared" si="44"/>
        <v>0</v>
      </c>
      <c r="AA207" s="3">
        <f t="shared" si="35"/>
        <v>7</v>
      </c>
      <c r="AB207" s="34">
        <f t="shared" si="40"/>
        <v>0</v>
      </c>
      <c r="AC207" s="34">
        <f t="shared" si="41"/>
        <v>7</v>
      </c>
      <c r="AD207" s="35">
        <f t="shared" si="42"/>
        <v>0</v>
      </c>
      <c r="AE207" s="35">
        <f t="shared" si="43"/>
        <v>1</v>
      </c>
      <c r="AF207" s="3"/>
    </row>
    <row r="208" spans="1:32" x14ac:dyDescent="0.2">
      <c r="A208" s="3" t="s">
        <v>420</v>
      </c>
      <c r="B208" s="3">
        <v>3.4504949992040599</v>
      </c>
      <c r="C208" s="3">
        <v>-76.542632298980493</v>
      </c>
      <c r="D208" s="3" t="s">
        <v>488</v>
      </c>
      <c r="E208" s="3" t="s">
        <v>20</v>
      </c>
      <c r="F208" s="3" t="s">
        <v>254</v>
      </c>
      <c r="G208" s="3" t="s">
        <v>251</v>
      </c>
      <c r="H208" s="3" t="s">
        <v>253</v>
      </c>
      <c r="I208" s="3" t="s">
        <v>251</v>
      </c>
      <c r="J208" s="3" t="s">
        <v>253</v>
      </c>
      <c r="K208" s="3" t="s">
        <v>224</v>
      </c>
      <c r="L208" s="3" t="s">
        <v>29</v>
      </c>
      <c r="M208" s="3" t="s">
        <v>245</v>
      </c>
      <c r="N208" s="3" t="s">
        <v>26</v>
      </c>
      <c r="O208" s="3" t="s">
        <v>343</v>
      </c>
      <c r="P208" s="3" t="s">
        <v>28</v>
      </c>
      <c r="Q208" s="3"/>
      <c r="R208" s="3">
        <v>2</v>
      </c>
      <c r="S208" s="3" t="s">
        <v>224</v>
      </c>
      <c r="T208" s="3">
        <v>37.32</v>
      </c>
      <c r="U208" s="3">
        <v>1</v>
      </c>
      <c r="W208" s="33">
        <f t="shared" si="33"/>
        <v>33.32</v>
      </c>
      <c r="X208" t="s">
        <v>421</v>
      </c>
      <c r="Y208" s="3">
        <f t="shared" si="34"/>
        <v>6</v>
      </c>
      <c r="Z208" s="3">
        <f t="shared" si="44"/>
        <v>0</v>
      </c>
      <c r="AA208" s="3">
        <f t="shared" si="35"/>
        <v>6</v>
      </c>
      <c r="AB208" s="34">
        <f t="shared" si="40"/>
        <v>0</v>
      </c>
      <c r="AC208" s="34">
        <f t="shared" si="41"/>
        <v>6</v>
      </c>
      <c r="AD208" s="35">
        <f t="shared" si="42"/>
        <v>0</v>
      </c>
      <c r="AE208" s="35">
        <f t="shared" si="43"/>
        <v>1</v>
      </c>
      <c r="AF208" s="3"/>
    </row>
    <row r="209" spans="1:32" x14ac:dyDescent="0.2">
      <c r="A209" s="3" t="s">
        <v>422</v>
      </c>
      <c r="B209" s="3">
        <v>3.4499968377205401</v>
      </c>
      <c r="C209" s="3">
        <v>-76.542428773432704</v>
      </c>
      <c r="D209" s="3" t="s">
        <v>488</v>
      </c>
      <c r="E209" s="3" t="s">
        <v>20</v>
      </c>
      <c r="F209" s="3" t="s">
        <v>254</v>
      </c>
      <c r="G209" s="3" t="s">
        <v>251</v>
      </c>
      <c r="H209" s="3" t="s">
        <v>254</v>
      </c>
      <c r="I209" s="3" t="s">
        <v>251</v>
      </c>
      <c r="J209" s="3" t="s">
        <v>381</v>
      </c>
      <c r="K209" s="3" t="s">
        <v>211</v>
      </c>
      <c r="L209" s="3" t="s">
        <v>29</v>
      </c>
      <c r="M209" s="3" t="s">
        <v>247</v>
      </c>
      <c r="N209" s="3" t="s">
        <v>26</v>
      </c>
      <c r="O209" s="3" t="s">
        <v>343</v>
      </c>
      <c r="P209" s="3" t="s">
        <v>28</v>
      </c>
      <c r="Q209" s="3"/>
      <c r="R209" s="3">
        <v>2</v>
      </c>
      <c r="S209" s="3" t="s">
        <v>238</v>
      </c>
      <c r="T209" s="3">
        <v>36.880000000000003</v>
      </c>
      <c r="U209" s="3">
        <v>0</v>
      </c>
      <c r="W209" s="33">
        <f t="shared" si="33"/>
        <v>36.880000000000003</v>
      </c>
      <c r="X209" t="s">
        <v>423</v>
      </c>
      <c r="Y209" s="3">
        <f t="shared" si="34"/>
        <v>7</v>
      </c>
      <c r="Z209" s="3">
        <f t="shared" si="44"/>
        <v>0</v>
      </c>
      <c r="AA209" s="3">
        <f t="shared" si="35"/>
        <v>7</v>
      </c>
      <c r="AB209" s="34">
        <f t="shared" si="40"/>
        <v>0</v>
      </c>
      <c r="AC209" s="34">
        <f t="shared" si="41"/>
        <v>7</v>
      </c>
      <c r="AD209" s="35">
        <f t="shared" si="42"/>
        <v>0</v>
      </c>
      <c r="AE209" s="35">
        <f t="shared" si="43"/>
        <v>1</v>
      </c>
      <c r="AF209" s="3"/>
    </row>
    <row r="210" spans="1:32" x14ac:dyDescent="0.2">
      <c r="A210" s="3" t="s">
        <v>424</v>
      </c>
      <c r="B210" s="3">
        <v>3.4496993395153601</v>
      </c>
      <c r="C210" s="3">
        <v>-76.542146638932294</v>
      </c>
      <c r="D210" s="3" t="s">
        <v>488</v>
      </c>
      <c r="E210" s="3" t="s">
        <v>20</v>
      </c>
      <c r="F210" s="3" t="s">
        <v>253</v>
      </c>
      <c r="G210" s="3" t="s">
        <v>251</v>
      </c>
      <c r="H210" s="3" t="s">
        <v>254</v>
      </c>
      <c r="I210" s="3" t="s">
        <v>251</v>
      </c>
      <c r="J210" s="3" t="s">
        <v>381</v>
      </c>
      <c r="K210" s="3" t="s">
        <v>233</v>
      </c>
      <c r="L210" s="3" t="s">
        <v>29</v>
      </c>
      <c r="M210" s="3" t="s">
        <v>245</v>
      </c>
      <c r="N210" s="3" t="s">
        <v>26</v>
      </c>
      <c r="O210" s="3" t="s">
        <v>343</v>
      </c>
      <c r="P210" s="3" t="s">
        <v>28</v>
      </c>
      <c r="Q210" s="3"/>
      <c r="R210" s="3">
        <v>2</v>
      </c>
      <c r="S210" s="3" t="s">
        <v>238</v>
      </c>
      <c r="T210" s="3">
        <v>50.82</v>
      </c>
      <c r="U210" s="3">
        <v>5</v>
      </c>
      <c r="W210" s="33">
        <f t="shared" si="33"/>
        <v>30.82</v>
      </c>
      <c r="X210" t="s">
        <v>425</v>
      </c>
      <c r="Y210" s="3">
        <f t="shared" si="34"/>
        <v>6</v>
      </c>
      <c r="Z210" s="3">
        <f t="shared" si="44"/>
        <v>0</v>
      </c>
      <c r="AA210" s="3">
        <f t="shared" si="35"/>
        <v>6</v>
      </c>
      <c r="AB210" s="34">
        <f t="shared" si="40"/>
        <v>0</v>
      </c>
      <c r="AC210" s="34">
        <f t="shared" si="41"/>
        <v>6</v>
      </c>
      <c r="AD210" s="35">
        <f t="shared" si="42"/>
        <v>0</v>
      </c>
      <c r="AE210" s="35">
        <f t="shared" si="43"/>
        <v>1</v>
      </c>
      <c r="AF210" s="3"/>
    </row>
    <row r="211" spans="1:32" x14ac:dyDescent="0.2">
      <c r="A211" s="3" t="s">
        <v>426</v>
      </c>
      <c r="B211" s="3">
        <v>3.4494051236682202</v>
      </c>
      <c r="C211" s="3">
        <v>-76.542428759910706</v>
      </c>
      <c r="D211" s="3" t="s">
        <v>488</v>
      </c>
      <c r="E211" s="3" t="s">
        <v>251</v>
      </c>
      <c r="F211" s="3" t="s">
        <v>381</v>
      </c>
      <c r="G211" s="3" t="s">
        <v>251</v>
      </c>
      <c r="H211" s="3" t="s">
        <v>254</v>
      </c>
      <c r="I211" s="3" t="s">
        <v>20</v>
      </c>
      <c r="J211" s="3" t="s">
        <v>391</v>
      </c>
      <c r="K211" s="3" t="s">
        <v>218</v>
      </c>
      <c r="L211" s="3" t="s">
        <v>29</v>
      </c>
      <c r="M211" s="3"/>
      <c r="N211" s="3" t="s">
        <v>24</v>
      </c>
      <c r="O211" s="3" t="s">
        <v>343</v>
      </c>
      <c r="P211" s="3"/>
      <c r="Q211" s="3"/>
      <c r="R211" s="3">
        <v>2</v>
      </c>
      <c r="S211" s="3" t="s">
        <v>238</v>
      </c>
      <c r="T211" s="3">
        <v>55.32</v>
      </c>
      <c r="U211" s="3">
        <v>1</v>
      </c>
      <c r="W211" s="33">
        <f t="shared" si="33"/>
        <v>51.32</v>
      </c>
      <c r="X211" t="s">
        <v>427</v>
      </c>
      <c r="Y211" s="3">
        <f t="shared" si="34"/>
        <v>10</v>
      </c>
      <c r="Z211" s="3">
        <f t="shared" si="44"/>
        <v>0</v>
      </c>
      <c r="AA211" s="3">
        <f t="shared" si="35"/>
        <v>10</v>
      </c>
      <c r="AB211" s="34">
        <f t="shared" si="40"/>
        <v>0</v>
      </c>
      <c r="AC211" s="34">
        <f t="shared" si="41"/>
        <v>10</v>
      </c>
      <c r="AD211" s="35">
        <f t="shared" si="42"/>
        <v>0</v>
      </c>
      <c r="AE211" s="35">
        <f t="shared" si="43"/>
        <v>1</v>
      </c>
      <c r="AF211" s="3"/>
    </row>
    <row r="212" spans="1:32" x14ac:dyDescent="0.2">
      <c r="A212" s="3" t="s">
        <v>428</v>
      </c>
      <c r="B212" s="3">
        <v>3.449699326523969</v>
      </c>
      <c r="C212" s="3">
        <v>-76.542710894335102</v>
      </c>
      <c r="D212" s="3" t="s">
        <v>488</v>
      </c>
      <c r="E212" s="3" t="s">
        <v>20</v>
      </c>
      <c r="F212" s="3" t="s">
        <v>254</v>
      </c>
      <c r="G212" s="3" t="s">
        <v>396</v>
      </c>
      <c r="H212" s="3" t="s">
        <v>397</v>
      </c>
      <c r="I212" s="3" t="s">
        <v>20</v>
      </c>
      <c r="J212" s="3" t="s">
        <v>253</v>
      </c>
      <c r="K212" s="3" t="s">
        <v>229</v>
      </c>
      <c r="L212" s="3" t="s">
        <v>29</v>
      </c>
      <c r="M212" s="3" t="s">
        <v>22</v>
      </c>
      <c r="N212" s="3" t="s">
        <v>26</v>
      </c>
      <c r="O212" s="3" t="s">
        <v>343</v>
      </c>
      <c r="P212" s="3" t="s">
        <v>23</v>
      </c>
      <c r="Q212" s="3"/>
      <c r="R212" s="3">
        <v>2</v>
      </c>
      <c r="S212" s="3" t="s">
        <v>238</v>
      </c>
      <c r="T212" s="3">
        <v>31.02</v>
      </c>
      <c r="U212" s="3">
        <v>2</v>
      </c>
      <c r="W212" s="33">
        <f t="shared" si="33"/>
        <v>23.02</v>
      </c>
      <c r="X212" t="s">
        <v>429</v>
      </c>
      <c r="Y212" s="3">
        <f t="shared" si="34"/>
        <v>4</v>
      </c>
      <c r="Z212" s="3">
        <f t="shared" si="44"/>
        <v>0</v>
      </c>
      <c r="AA212" s="3">
        <f t="shared" si="35"/>
        <v>4</v>
      </c>
      <c r="AB212" s="34">
        <f t="shared" si="40"/>
        <v>0</v>
      </c>
      <c r="AC212" s="34">
        <f t="shared" si="41"/>
        <v>4</v>
      </c>
      <c r="AD212" s="35">
        <f t="shared" si="42"/>
        <v>0</v>
      </c>
      <c r="AE212" s="35">
        <f t="shared" si="43"/>
        <v>1</v>
      </c>
      <c r="AF212" s="3"/>
    </row>
    <row r="213" spans="1:32" x14ac:dyDescent="0.2">
      <c r="A213" s="3" t="s">
        <v>430</v>
      </c>
      <c r="B213" s="3">
        <v>3.4493270234622502</v>
      </c>
      <c r="C213" s="3">
        <v>-76.540092797355598</v>
      </c>
      <c r="D213" s="3" t="s">
        <v>488</v>
      </c>
      <c r="E213" s="3" t="s">
        <v>251</v>
      </c>
      <c r="F213" s="3" t="s">
        <v>254</v>
      </c>
      <c r="G213" s="3" t="s">
        <v>251</v>
      </c>
      <c r="H213" s="3" t="s">
        <v>253</v>
      </c>
      <c r="I213" s="3" t="s">
        <v>251</v>
      </c>
      <c r="J213" s="3" t="s">
        <v>255</v>
      </c>
      <c r="K213" s="3" t="s">
        <v>211</v>
      </c>
      <c r="L213" s="3" t="s">
        <v>21</v>
      </c>
      <c r="M213" s="3" t="s">
        <v>247</v>
      </c>
      <c r="N213" s="3" t="s">
        <v>26</v>
      </c>
      <c r="O213" s="3" t="s">
        <v>343</v>
      </c>
      <c r="P213" s="3" t="s">
        <v>23</v>
      </c>
      <c r="Q213" s="3"/>
      <c r="R213" s="3">
        <v>2</v>
      </c>
      <c r="S213" s="3" t="s">
        <v>238</v>
      </c>
      <c r="T213" s="3">
        <v>52.1</v>
      </c>
      <c r="U213" s="3">
        <v>4</v>
      </c>
      <c r="W213" s="33">
        <f t="shared" si="33"/>
        <v>36.1</v>
      </c>
      <c r="X213" t="s">
        <v>431</v>
      </c>
      <c r="Y213" s="3">
        <f t="shared" si="34"/>
        <v>7</v>
      </c>
      <c r="Z213" s="3">
        <f t="shared" si="44"/>
        <v>0</v>
      </c>
      <c r="AA213" s="3">
        <f t="shared" si="35"/>
        <v>7</v>
      </c>
      <c r="AB213" s="34">
        <f t="shared" si="40"/>
        <v>0</v>
      </c>
      <c r="AC213" s="34">
        <f t="shared" si="41"/>
        <v>7</v>
      </c>
      <c r="AD213" s="35">
        <f t="shared" si="42"/>
        <v>0</v>
      </c>
      <c r="AE213" s="35">
        <f t="shared" si="43"/>
        <v>1</v>
      </c>
      <c r="AF213" s="3"/>
    </row>
    <row r="214" spans="1:32" x14ac:dyDescent="0.2">
      <c r="A214" s="3" t="s">
        <v>432</v>
      </c>
      <c r="B214" s="3">
        <v>3.4496571025582901</v>
      </c>
      <c r="C214" s="3">
        <v>-76.540352202650595</v>
      </c>
      <c r="D214" s="3" t="s">
        <v>488</v>
      </c>
      <c r="E214" s="3" t="s">
        <v>20</v>
      </c>
      <c r="F214" s="3" t="s">
        <v>253</v>
      </c>
      <c r="G214" s="3" t="s">
        <v>251</v>
      </c>
      <c r="H214" s="3" t="s">
        <v>253</v>
      </c>
      <c r="I214" s="3" t="s">
        <v>251</v>
      </c>
      <c r="J214" s="3" t="s">
        <v>254</v>
      </c>
      <c r="K214" s="3" t="s">
        <v>233</v>
      </c>
      <c r="L214" s="3" t="s">
        <v>21</v>
      </c>
      <c r="M214" s="3" t="s">
        <v>247</v>
      </c>
      <c r="N214" s="3" t="s">
        <v>26</v>
      </c>
      <c r="O214" s="3" t="s">
        <v>343</v>
      </c>
      <c r="P214" s="3" t="s">
        <v>28</v>
      </c>
      <c r="Q214" s="3"/>
      <c r="R214" s="3">
        <v>2</v>
      </c>
      <c r="S214" s="3" t="s">
        <v>238</v>
      </c>
      <c r="T214" s="3">
        <v>56.07</v>
      </c>
      <c r="U214" s="3">
        <v>3</v>
      </c>
      <c r="W214" s="33">
        <f t="shared" si="33"/>
        <v>44.07</v>
      </c>
      <c r="X214" t="s">
        <v>433</v>
      </c>
      <c r="Y214" s="3">
        <f t="shared" si="34"/>
        <v>8</v>
      </c>
      <c r="Z214" s="3">
        <f t="shared" si="44"/>
        <v>0</v>
      </c>
      <c r="AA214" s="3">
        <f t="shared" si="35"/>
        <v>8</v>
      </c>
      <c r="AB214" s="34">
        <f t="shared" si="40"/>
        <v>0</v>
      </c>
      <c r="AC214" s="34">
        <f t="shared" si="41"/>
        <v>8</v>
      </c>
      <c r="AD214" s="35">
        <f t="shared" si="42"/>
        <v>0</v>
      </c>
      <c r="AE214" s="35">
        <f t="shared" si="43"/>
        <v>1</v>
      </c>
      <c r="AF214" s="3"/>
    </row>
    <row r="215" spans="1:32" x14ac:dyDescent="0.2">
      <c r="A215" s="3" t="s">
        <v>434</v>
      </c>
      <c r="B215" s="3">
        <v>3.449339826238679</v>
      </c>
      <c r="C215" s="3">
        <v>-76.543262413379196</v>
      </c>
      <c r="D215" s="3" t="s">
        <v>488</v>
      </c>
      <c r="E215" s="3" t="s">
        <v>251</v>
      </c>
      <c r="F215" s="3" t="s">
        <v>381</v>
      </c>
      <c r="G215" s="3" t="s">
        <v>20</v>
      </c>
      <c r="H215" s="3" t="s">
        <v>254</v>
      </c>
      <c r="I215" s="3" t="s">
        <v>251</v>
      </c>
      <c r="J215" s="3" t="s">
        <v>402</v>
      </c>
      <c r="K215" s="3" t="s">
        <v>218</v>
      </c>
      <c r="L215" s="3" t="s">
        <v>21</v>
      </c>
      <c r="M215" s="3" t="s">
        <v>247</v>
      </c>
      <c r="N215" s="3" t="s">
        <v>26</v>
      </c>
      <c r="O215" s="3" t="s">
        <v>343</v>
      </c>
      <c r="P215" s="3" t="s">
        <v>28</v>
      </c>
      <c r="Q215" s="3"/>
      <c r="R215" s="3">
        <v>2</v>
      </c>
      <c r="S215" s="3" t="s">
        <v>238</v>
      </c>
      <c r="T215" s="3">
        <v>57.97</v>
      </c>
      <c r="U215" s="3">
        <v>1</v>
      </c>
      <c r="W215" s="33">
        <f t="shared" si="33"/>
        <v>53.97</v>
      </c>
      <c r="X215" t="s">
        <v>435</v>
      </c>
      <c r="Y215" s="3">
        <f t="shared" si="34"/>
        <v>10</v>
      </c>
      <c r="Z215" s="3">
        <f t="shared" si="44"/>
        <v>0</v>
      </c>
      <c r="AA215" s="3">
        <f t="shared" si="35"/>
        <v>10</v>
      </c>
      <c r="AB215" s="34">
        <f t="shared" si="40"/>
        <v>0</v>
      </c>
      <c r="AC215" s="34">
        <f t="shared" si="41"/>
        <v>10</v>
      </c>
      <c r="AD215" s="35">
        <f t="shared" si="42"/>
        <v>0</v>
      </c>
      <c r="AE215" s="35">
        <f t="shared" si="43"/>
        <v>1</v>
      </c>
      <c r="AF215" s="3"/>
    </row>
    <row r="216" spans="1:32" x14ac:dyDescent="0.2">
      <c r="A216" s="3" t="s">
        <v>436</v>
      </c>
      <c r="B216" s="3">
        <v>3.4490989980135298</v>
      </c>
      <c r="C216" s="3">
        <v>-76.542969523350195</v>
      </c>
      <c r="D216" s="3" t="s">
        <v>488</v>
      </c>
      <c r="E216" s="3" t="s">
        <v>20</v>
      </c>
      <c r="F216" s="3" t="s">
        <v>254</v>
      </c>
      <c r="G216" s="3" t="s">
        <v>251</v>
      </c>
      <c r="H216" s="3" t="s">
        <v>254</v>
      </c>
      <c r="I216" s="3" t="s">
        <v>251</v>
      </c>
      <c r="J216" s="3" t="s">
        <v>255</v>
      </c>
      <c r="K216" s="3" t="s">
        <v>229</v>
      </c>
      <c r="L216" s="3" t="s">
        <v>21</v>
      </c>
      <c r="M216" s="3" t="s">
        <v>22</v>
      </c>
      <c r="N216" s="3" t="s">
        <v>26</v>
      </c>
      <c r="O216" s="3" t="s">
        <v>343</v>
      </c>
      <c r="P216" s="3" t="s">
        <v>28</v>
      </c>
      <c r="Q216" s="3"/>
      <c r="R216" s="3">
        <v>2</v>
      </c>
      <c r="S216" s="3" t="s">
        <v>238</v>
      </c>
      <c r="T216" s="3">
        <v>33.43</v>
      </c>
      <c r="U216" s="3">
        <v>1</v>
      </c>
      <c r="W216" s="33">
        <f t="shared" si="33"/>
        <v>29.43</v>
      </c>
      <c r="X216" t="s">
        <v>437</v>
      </c>
      <c r="Y216" s="3">
        <f t="shared" si="34"/>
        <v>5</v>
      </c>
      <c r="Z216" s="3">
        <f t="shared" si="44"/>
        <v>0</v>
      </c>
      <c r="AA216" s="3">
        <f t="shared" si="35"/>
        <v>5</v>
      </c>
      <c r="AB216" s="34">
        <f t="shared" si="40"/>
        <v>0</v>
      </c>
      <c r="AC216" s="34">
        <f t="shared" si="41"/>
        <v>5</v>
      </c>
      <c r="AD216" s="35">
        <f t="shared" si="42"/>
        <v>0</v>
      </c>
      <c r="AE216" s="35">
        <f t="shared" si="43"/>
        <v>1</v>
      </c>
      <c r="AF216" s="3"/>
    </row>
    <row r="217" spans="1:32" x14ac:dyDescent="0.2">
      <c r="A217" s="3" t="s">
        <v>438</v>
      </c>
      <c r="B217" s="3">
        <v>3.4488782482273002</v>
      </c>
      <c r="C217" s="3">
        <v>-76.543262402430798</v>
      </c>
      <c r="D217" s="3" t="s">
        <v>488</v>
      </c>
      <c r="E217" s="3" t="s">
        <v>251</v>
      </c>
      <c r="F217" s="3" t="s">
        <v>402</v>
      </c>
      <c r="G217" s="3" t="s">
        <v>251</v>
      </c>
      <c r="H217" s="3" t="s">
        <v>381</v>
      </c>
      <c r="I217" s="3" t="s">
        <v>251</v>
      </c>
      <c r="J217" s="3" t="s">
        <v>381</v>
      </c>
      <c r="K217" s="3"/>
      <c r="L217" s="3"/>
      <c r="M217" s="3"/>
      <c r="N217" s="3" t="s">
        <v>24</v>
      </c>
      <c r="O217" s="3" t="s">
        <v>343</v>
      </c>
      <c r="P217" s="3"/>
      <c r="Q217" s="3"/>
      <c r="R217" s="3">
        <v>2</v>
      </c>
      <c r="S217" s="3" t="s">
        <v>238</v>
      </c>
      <c r="T217" s="3">
        <v>56.06</v>
      </c>
      <c r="U217" s="3">
        <v>1</v>
      </c>
      <c r="W217" s="33">
        <f t="shared" si="33"/>
        <v>52.06</v>
      </c>
      <c r="X217" t="s">
        <v>439</v>
      </c>
      <c r="Y217" s="3">
        <f t="shared" si="34"/>
        <v>10</v>
      </c>
      <c r="Z217" s="3">
        <f t="shared" si="44"/>
        <v>0</v>
      </c>
      <c r="AA217" s="3">
        <f t="shared" si="35"/>
        <v>10</v>
      </c>
      <c r="AB217" s="34">
        <f t="shared" si="40"/>
        <v>0</v>
      </c>
      <c r="AC217" s="34">
        <f t="shared" si="41"/>
        <v>10</v>
      </c>
      <c r="AD217" s="35">
        <f t="shared" si="42"/>
        <v>0</v>
      </c>
      <c r="AE217" s="35">
        <f t="shared" si="43"/>
        <v>1</v>
      </c>
      <c r="AF217" s="3"/>
    </row>
    <row r="218" spans="1:32" x14ac:dyDescent="0.2">
      <c r="A218" s="3" t="s">
        <v>440</v>
      </c>
      <c r="B218" s="3">
        <v>3.4490989840126298</v>
      </c>
      <c r="C218" s="3">
        <v>-76.543555291982798</v>
      </c>
      <c r="D218" s="3" t="s">
        <v>488</v>
      </c>
      <c r="E218" s="3" t="s">
        <v>20</v>
      </c>
      <c r="F218" s="3" t="s">
        <v>255</v>
      </c>
      <c r="G218" s="3" t="s">
        <v>251</v>
      </c>
      <c r="H218" s="3" t="s">
        <v>381</v>
      </c>
      <c r="I218" s="3" t="s">
        <v>251</v>
      </c>
      <c r="J218" s="3" t="s">
        <v>402</v>
      </c>
      <c r="K218" s="3" t="s">
        <v>233</v>
      </c>
      <c r="L218" s="3" t="s">
        <v>21</v>
      </c>
      <c r="M218" s="3" t="s">
        <v>22</v>
      </c>
      <c r="N218" s="3" t="s">
        <v>26</v>
      </c>
      <c r="O218" s="3" t="s">
        <v>343</v>
      </c>
      <c r="P218" s="3" t="s">
        <v>28</v>
      </c>
      <c r="Q218" s="3"/>
      <c r="R218" s="3">
        <v>2</v>
      </c>
      <c r="S218" s="3" t="s">
        <v>238</v>
      </c>
      <c r="T218" s="3">
        <v>58.47</v>
      </c>
      <c r="U218" s="3">
        <v>4</v>
      </c>
      <c r="W218" s="33">
        <f t="shared" si="33"/>
        <v>42.47</v>
      </c>
      <c r="X218" t="s">
        <v>441</v>
      </c>
      <c r="Y218" s="3">
        <f t="shared" si="34"/>
        <v>8</v>
      </c>
      <c r="Z218" s="3">
        <f t="shared" si="44"/>
        <v>0</v>
      </c>
      <c r="AA218" s="3">
        <f t="shared" si="35"/>
        <v>8</v>
      </c>
      <c r="AB218" s="34">
        <f t="shared" si="40"/>
        <v>0</v>
      </c>
      <c r="AC218" s="34">
        <f t="shared" si="41"/>
        <v>8</v>
      </c>
      <c r="AD218" s="35">
        <f t="shared" si="42"/>
        <v>0</v>
      </c>
      <c r="AE218" s="35">
        <f t="shared" si="43"/>
        <v>1</v>
      </c>
      <c r="AF218" s="3"/>
    </row>
    <row r="219" spans="1:32" x14ac:dyDescent="0.2">
      <c r="A219" s="3" t="s">
        <v>442</v>
      </c>
      <c r="B219" s="3">
        <v>3.4505453463450202</v>
      </c>
      <c r="C219" s="3">
        <v>-76.541283395501495</v>
      </c>
      <c r="D219" s="3" t="s">
        <v>488</v>
      </c>
      <c r="E219" s="3" t="s">
        <v>251</v>
      </c>
      <c r="F219" s="3" t="s">
        <v>253</v>
      </c>
      <c r="G219" s="3" t="s">
        <v>31</v>
      </c>
      <c r="H219" s="3" t="s">
        <v>371</v>
      </c>
      <c r="I219" s="3" t="s">
        <v>20</v>
      </c>
      <c r="J219" s="3" t="s">
        <v>256</v>
      </c>
      <c r="K219" s="3" t="s">
        <v>211</v>
      </c>
      <c r="L219" s="3" t="s">
        <v>21</v>
      </c>
      <c r="M219" s="3" t="s">
        <v>22</v>
      </c>
      <c r="N219" s="3" t="s">
        <v>26</v>
      </c>
      <c r="O219" s="3" t="s">
        <v>343</v>
      </c>
      <c r="P219" s="3" t="s">
        <v>28</v>
      </c>
      <c r="Q219" s="3"/>
      <c r="R219" s="3">
        <v>2</v>
      </c>
      <c r="S219" s="3" t="s">
        <v>238</v>
      </c>
      <c r="T219" s="3">
        <v>60.7</v>
      </c>
      <c r="U219" s="3">
        <v>3</v>
      </c>
      <c r="W219" s="33">
        <f t="shared" si="33"/>
        <v>48.7</v>
      </c>
      <c r="X219" t="s">
        <v>443</v>
      </c>
      <c r="Y219" s="3">
        <f t="shared" si="34"/>
        <v>9</v>
      </c>
      <c r="Z219" s="3">
        <f t="shared" si="44"/>
        <v>0</v>
      </c>
      <c r="AA219" s="3">
        <f t="shared" si="35"/>
        <v>9</v>
      </c>
      <c r="AB219" s="34">
        <f t="shared" si="40"/>
        <v>0</v>
      </c>
      <c r="AC219" s="34">
        <f t="shared" si="41"/>
        <v>9</v>
      </c>
      <c r="AD219" s="35">
        <f t="shared" si="42"/>
        <v>0</v>
      </c>
      <c r="AE219" s="35">
        <f t="shared" si="43"/>
        <v>1</v>
      </c>
      <c r="AF219" s="3"/>
    </row>
    <row r="220" spans="1:32" x14ac:dyDescent="0.2">
      <c r="A220" s="3" t="s">
        <v>444</v>
      </c>
      <c r="B220" s="3">
        <v>3.45084505638359</v>
      </c>
      <c r="C220" s="3">
        <v>-76.541604511792499</v>
      </c>
      <c r="D220" s="3" t="s">
        <v>488</v>
      </c>
      <c r="E220" s="3" t="s">
        <v>20</v>
      </c>
      <c r="F220" s="3" t="s">
        <v>253</v>
      </c>
      <c r="G220" s="3" t="s">
        <v>251</v>
      </c>
      <c r="H220" s="3" t="s">
        <v>253</v>
      </c>
      <c r="I220" s="3" t="s">
        <v>445</v>
      </c>
      <c r="J220" s="3" t="s">
        <v>446</v>
      </c>
      <c r="K220" s="3" t="s">
        <v>233</v>
      </c>
      <c r="L220" s="3" t="s">
        <v>21</v>
      </c>
      <c r="M220" s="3" t="s">
        <v>245</v>
      </c>
      <c r="N220" s="3" t="s">
        <v>26</v>
      </c>
      <c r="O220" s="3" t="s">
        <v>343</v>
      </c>
      <c r="P220" s="3" t="s">
        <v>28</v>
      </c>
      <c r="Q220" s="3"/>
      <c r="R220" s="3">
        <v>2</v>
      </c>
      <c r="S220" s="3" t="s">
        <v>238</v>
      </c>
      <c r="T220" s="3">
        <v>46.03</v>
      </c>
      <c r="U220" s="3">
        <v>4</v>
      </c>
      <c r="W220" s="33">
        <f t="shared" si="33"/>
        <v>30.03</v>
      </c>
      <c r="X220" t="s">
        <v>447</v>
      </c>
      <c r="Y220" s="3">
        <f t="shared" si="34"/>
        <v>6</v>
      </c>
      <c r="Z220" s="3">
        <f t="shared" si="44"/>
        <v>0</v>
      </c>
      <c r="AA220" s="3">
        <f t="shared" si="35"/>
        <v>6</v>
      </c>
      <c r="AB220" s="34">
        <f t="shared" si="40"/>
        <v>0</v>
      </c>
      <c r="AC220" s="34">
        <f t="shared" si="41"/>
        <v>6</v>
      </c>
      <c r="AD220" s="35">
        <f t="shared" si="42"/>
        <v>0</v>
      </c>
      <c r="AE220" s="35">
        <f t="shared" si="43"/>
        <v>1</v>
      </c>
      <c r="AF220" s="3"/>
    </row>
    <row r="221" spans="1:32" x14ac:dyDescent="0.2">
      <c r="A221" s="3" t="s">
        <v>448</v>
      </c>
      <c r="B221" s="3">
        <v>3.4501222818998998</v>
      </c>
      <c r="C221" s="3">
        <v>-76.539911916978895</v>
      </c>
      <c r="D221" s="3" t="s">
        <v>488</v>
      </c>
      <c r="E221" s="3" t="s">
        <v>20</v>
      </c>
      <c r="F221" s="3" t="s">
        <v>391</v>
      </c>
      <c r="G221" s="3" t="s">
        <v>31</v>
      </c>
      <c r="H221" s="3" t="s">
        <v>371</v>
      </c>
      <c r="I221" s="3" t="s">
        <v>31</v>
      </c>
      <c r="J221" s="3" t="s">
        <v>371</v>
      </c>
      <c r="K221" s="3" t="s">
        <v>229</v>
      </c>
      <c r="L221" s="3" t="s">
        <v>29</v>
      </c>
      <c r="M221" s="3" t="s">
        <v>22</v>
      </c>
      <c r="N221" s="3" t="s">
        <v>26</v>
      </c>
      <c r="O221" s="3" t="s">
        <v>343</v>
      </c>
      <c r="P221" s="3" t="s">
        <v>27</v>
      </c>
      <c r="Q221" s="3"/>
      <c r="R221" s="3">
        <v>2</v>
      </c>
      <c r="S221" s="3" t="s">
        <v>238</v>
      </c>
      <c r="T221" s="3">
        <v>30.7</v>
      </c>
      <c r="U221" s="3">
        <v>0</v>
      </c>
      <c r="W221" s="33">
        <f t="shared" si="33"/>
        <v>30.7</v>
      </c>
      <c r="X221" t="s">
        <v>449</v>
      </c>
      <c r="Y221" s="3">
        <f t="shared" si="34"/>
        <v>6</v>
      </c>
      <c r="Z221" s="3">
        <f t="shared" si="44"/>
        <v>0</v>
      </c>
      <c r="AA221" s="3">
        <f t="shared" si="35"/>
        <v>6</v>
      </c>
      <c r="AB221" s="34">
        <f t="shared" si="40"/>
        <v>0</v>
      </c>
      <c r="AC221" s="34">
        <f t="shared" si="41"/>
        <v>6</v>
      </c>
      <c r="AD221" s="35">
        <f t="shared" si="42"/>
        <v>0</v>
      </c>
      <c r="AE221" s="35">
        <f t="shared" si="43"/>
        <v>1</v>
      </c>
      <c r="AF221" s="3"/>
    </row>
    <row r="222" spans="1:32" x14ac:dyDescent="0.2">
      <c r="A222" s="3" t="s">
        <v>450</v>
      </c>
      <c r="B222" s="3">
        <v>3.45054946143282</v>
      </c>
      <c r="C222" s="3">
        <v>-76.542810546042304</v>
      </c>
      <c r="D222" s="3" t="s">
        <v>488</v>
      </c>
      <c r="E222" s="3" t="s">
        <v>20</v>
      </c>
      <c r="F222" s="3" t="s">
        <v>254</v>
      </c>
      <c r="G222" s="3" t="s">
        <v>31</v>
      </c>
      <c r="H222" s="3" t="s">
        <v>371</v>
      </c>
      <c r="I222" s="3" t="s">
        <v>396</v>
      </c>
      <c r="J222" s="3" t="s">
        <v>397</v>
      </c>
      <c r="K222" s="3" t="s">
        <v>224</v>
      </c>
      <c r="L222" s="3" t="s">
        <v>21</v>
      </c>
      <c r="M222" s="3" t="s">
        <v>22</v>
      </c>
      <c r="N222" s="3" t="s">
        <v>26</v>
      </c>
      <c r="O222" s="3" t="s">
        <v>343</v>
      </c>
      <c r="P222" s="3" t="s">
        <v>27</v>
      </c>
      <c r="Q222" s="3"/>
      <c r="R222" s="3">
        <v>2</v>
      </c>
      <c r="S222" s="3" t="s">
        <v>224</v>
      </c>
      <c r="T222" s="3">
        <v>37.53</v>
      </c>
      <c r="U222" s="3">
        <v>1</v>
      </c>
      <c r="W222" s="33">
        <f t="shared" si="33"/>
        <v>33.53</v>
      </c>
      <c r="X222" t="s">
        <v>451</v>
      </c>
      <c r="Y222" s="3">
        <f t="shared" si="34"/>
        <v>6</v>
      </c>
      <c r="Z222" s="3">
        <f t="shared" si="44"/>
        <v>0</v>
      </c>
      <c r="AA222" s="3">
        <f t="shared" si="35"/>
        <v>6</v>
      </c>
      <c r="AB222" s="34">
        <f t="shared" si="40"/>
        <v>0</v>
      </c>
      <c r="AC222" s="34">
        <f t="shared" si="41"/>
        <v>6</v>
      </c>
      <c r="AD222" s="35">
        <f t="shared" si="42"/>
        <v>0</v>
      </c>
      <c r="AE222" s="35">
        <f t="shared" si="43"/>
        <v>1</v>
      </c>
      <c r="AF222" s="3"/>
    </row>
    <row r="223" spans="1:32" x14ac:dyDescent="0.2">
      <c r="A223" s="3" t="s">
        <v>452</v>
      </c>
      <c r="B223" s="3">
        <v>3.45024572989422</v>
      </c>
      <c r="C223" s="3">
        <v>-76.543170952943996</v>
      </c>
      <c r="D223" s="3" t="s">
        <v>488</v>
      </c>
      <c r="E223" s="3" t="s">
        <v>453</v>
      </c>
      <c r="F223" s="3" t="s">
        <v>454</v>
      </c>
      <c r="G223" s="3" t="s">
        <v>251</v>
      </c>
      <c r="H223" s="3" t="s">
        <v>256</v>
      </c>
      <c r="I223" s="3" t="s">
        <v>20</v>
      </c>
      <c r="J223" s="3" t="s">
        <v>254</v>
      </c>
      <c r="K223" s="3" t="s">
        <v>211</v>
      </c>
      <c r="L223" s="3" t="s">
        <v>21</v>
      </c>
      <c r="M223" s="3" t="s">
        <v>22</v>
      </c>
      <c r="N223" s="3" t="s">
        <v>26</v>
      </c>
      <c r="O223" s="3" t="s">
        <v>343</v>
      </c>
      <c r="P223" s="3" t="s">
        <v>28</v>
      </c>
      <c r="Q223" s="3"/>
      <c r="R223" s="3">
        <v>2</v>
      </c>
      <c r="S223" s="3" t="s">
        <v>238</v>
      </c>
      <c r="T223" s="3">
        <v>44.24</v>
      </c>
      <c r="U223" s="3">
        <v>2</v>
      </c>
      <c r="W223" s="33">
        <f t="shared" si="33"/>
        <v>36.24</v>
      </c>
      <c r="X223" t="s">
        <v>455</v>
      </c>
      <c r="Y223" s="3">
        <f t="shared" si="34"/>
        <v>7</v>
      </c>
      <c r="Z223" s="3">
        <f t="shared" si="44"/>
        <v>0</v>
      </c>
      <c r="AA223" s="3">
        <f t="shared" si="35"/>
        <v>7</v>
      </c>
      <c r="AB223" s="34">
        <f t="shared" si="40"/>
        <v>0</v>
      </c>
      <c r="AC223" s="34">
        <f t="shared" si="41"/>
        <v>7</v>
      </c>
      <c r="AD223" s="35">
        <f t="shared" si="42"/>
        <v>0</v>
      </c>
      <c r="AE223" s="35">
        <f t="shared" si="43"/>
        <v>1</v>
      </c>
      <c r="AF223" s="3"/>
    </row>
    <row r="224" spans="1:32" x14ac:dyDescent="0.2">
      <c r="A224" s="3" t="s">
        <v>456</v>
      </c>
      <c r="B224" s="3">
        <v>3.4505494442732201</v>
      </c>
      <c r="C224" s="3">
        <v>-76.543531374201294</v>
      </c>
      <c r="D224" s="3" t="s">
        <v>488</v>
      </c>
      <c r="E224" s="3" t="s">
        <v>20</v>
      </c>
      <c r="F224" s="3" t="s">
        <v>255</v>
      </c>
      <c r="G224" s="3" t="s">
        <v>251</v>
      </c>
      <c r="H224" s="3" t="s">
        <v>254</v>
      </c>
      <c r="I224" s="3" t="s">
        <v>251</v>
      </c>
      <c r="J224" s="3" t="s">
        <v>256</v>
      </c>
      <c r="K224" s="3" t="s">
        <v>233</v>
      </c>
      <c r="L224" s="3" t="s">
        <v>21</v>
      </c>
      <c r="M224" s="3" t="s">
        <v>22</v>
      </c>
      <c r="N224" s="3" t="s">
        <v>26</v>
      </c>
      <c r="O224" s="3" t="s">
        <v>343</v>
      </c>
      <c r="P224" s="3" t="s">
        <v>23</v>
      </c>
      <c r="Q224" s="3"/>
      <c r="R224" s="3">
        <v>2</v>
      </c>
      <c r="S224" s="3" t="s">
        <v>238</v>
      </c>
      <c r="T224" s="3">
        <v>38.42</v>
      </c>
      <c r="U224" s="3">
        <v>2</v>
      </c>
      <c r="W224" s="33">
        <f t="shared" si="33"/>
        <v>30.42</v>
      </c>
      <c r="X224" t="s">
        <v>457</v>
      </c>
      <c r="Y224" s="3">
        <f t="shared" si="34"/>
        <v>6</v>
      </c>
      <c r="Z224" s="3">
        <f t="shared" si="44"/>
        <v>0</v>
      </c>
      <c r="AA224" s="3">
        <f t="shared" si="35"/>
        <v>6</v>
      </c>
      <c r="AB224" s="34">
        <f t="shared" si="40"/>
        <v>0</v>
      </c>
      <c r="AC224" s="34">
        <f t="shared" si="41"/>
        <v>6</v>
      </c>
      <c r="AD224" s="35">
        <f t="shared" si="42"/>
        <v>0</v>
      </c>
      <c r="AE224" s="35">
        <f t="shared" si="43"/>
        <v>1</v>
      </c>
      <c r="AF224" s="3"/>
    </row>
    <row r="225" spans="1:32" x14ac:dyDescent="0.2">
      <c r="A225" s="3" t="s">
        <v>458</v>
      </c>
      <c r="B225" s="3">
        <v>3.4494288917979601</v>
      </c>
      <c r="C225" s="3">
        <v>-76.543821955210902</v>
      </c>
      <c r="D225" s="3" t="s">
        <v>488</v>
      </c>
      <c r="E225" s="3" t="s">
        <v>251</v>
      </c>
      <c r="F225" s="3" t="s">
        <v>381</v>
      </c>
      <c r="G225" s="3" t="s">
        <v>20</v>
      </c>
      <c r="H225" s="3" t="s">
        <v>255</v>
      </c>
      <c r="I225" s="3" t="s">
        <v>20</v>
      </c>
      <c r="J225" s="3" t="s">
        <v>255</v>
      </c>
      <c r="K225" s="3" t="s">
        <v>218</v>
      </c>
      <c r="L225" s="3" t="s">
        <v>21</v>
      </c>
      <c r="M225" s="3" t="s">
        <v>22</v>
      </c>
      <c r="N225" s="3" t="s">
        <v>26</v>
      </c>
      <c r="O225" s="3" t="s">
        <v>343</v>
      </c>
      <c r="P225" s="3" t="s">
        <v>23</v>
      </c>
      <c r="Q225" s="3"/>
      <c r="R225" s="3">
        <v>2</v>
      </c>
      <c r="S225" s="3" t="s">
        <v>238</v>
      </c>
      <c r="T225" s="3">
        <v>57.52</v>
      </c>
      <c r="U225" s="3">
        <v>1</v>
      </c>
      <c r="W225" s="33">
        <f t="shared" si="33"/>
        <v>53.52</v>
      </c>
      <c r="X225" t="s">
        <v>459</v>
      </c>
      <c r="Y225" s="3">
        <f t="shared" si="34"/>
        <v>10</v>
      </c>
      <c r="Z225" s="3">
        <f t="shared" si="44"/>
        <v>0</v>
      </c>
      <c r="AA225" s="3">
        <f t="shared" si="35"/>
        <v>10</v>
      </c>
      <c r="AB225" s="34">
        <f t="shared" si="40"/>
        <v>0</v>
      </c>
      <c r="AC225" s="34">
        <f t="shared" si="41"/>
        <v>10</v>
      </c>
      <c r="AD225" s="35">
        <f t="shared" si="42"/>
        <v>0</v>
      </c>
      <c r="AE225" s="35">
        <f t="shared" si="43"/>
        <v>1</v>
      </c>
      <c r="AF225" s="3"/>
    </row>
    <row r="226" spans="1:32" x14ac:dyDescent="0.2">
      <c r="A226" s="3" t="s">
        <v>460</v>
      </c>
      <c r="B226" s="3">
        <v>3.44903208442858</v>
      </c>
      <c r="C226" s="3">
        <v>-76.543707338730499</v>
      </c>
      <c r="D226" s="3" t="s">
        <v>488</v>
      </c>
      <c r="E226" s="3" t="s">
        <v>20</v>
      </c>
      <c r="F226" s="3" t="s">
        <v>255</v>
      </c>
      <c r="G226" s="3" t="s">
        <v>251</v>
      </c>
      <c r="H226" s="3" t="s">
        <v>381</v>
      </c>
      <c r="I226" s="3" t="s">
        <v>251</v>
      </c>
      <c r="J226" s="3" t="s">
        <v>402</v>
      </c>
      <c r="K226" s="3" t="s">
        <v>233</v>
      </c>
      <c r="L226" s="3" t="s">
        <v>29</v>
      </c>
      <c r="M226" s="3" t="s">
        <v>22</v>
      </c>
      <c r="N226" s="3" t="s">
        <v>26</v>
      </c>
      <c r="O226" s="3" t="s">
        <v>343</v>
      </c>
      <c r="P226" s="3" t="s">
        <v>23</v>
      </c>
      <c r="Q226" s="3"/>
      <c r="R226" s="3">
        <v>2</v>
      </c>
      <c r="S226" s="3" t="s">
        <v>238</v>
      </c>
      <c r="T226" s="3">
        <v>62.84</v>
      </c>
      <c r="U226" s="3">
        <v>2</v>
      </c>
      <c r="W226" s="33">
        <f t="shared" si="33"/>
        <v>54.84</v>
      </c>
      <c r="X226" t="s">
        <v>461</v>
      </c>
      <c r="Y226" s="3">
        <f t="shared" si="34"/>
        <v>10</v>
      </c>
      <c r="Z226" s="3">
        <f t="shared" si="44"/>
        <v>0</v>
      </c>
      <c r="AA226" s="3">
        <f t="shared" si="35"/>
        <v>10</v>
      </c>
      <c r="AB226" s="34">
        <f t="shared" si="40"/>
        <v>0</v>
      </c>
      <c r="AC226" s="34">
        <f t="shared" si="41"/>
        <v>10</v>
      </c>
      <c r="AD226" s="35">
        <f t="shared" si="42"/>
        <v>0</v>
      </c>
      <c r="AE226" s="35">
        <f t="shared" si="43"/>
        <v>1</v>
      </c>
      <c r="AF226" s="3"/>
    </row>
    <row r="227" spans="1:32" x14ac:dyDescent="0.2">
      <c r="A227" s="3" t="s">
        <v>462</v>
      </c>
      <c r="B227" s="3">
        <v>3.4492229014658502</v>
      </c>
      <c r="C227" s="3">
        <v>-76.544148408579701</v>
      </c>
      <c r="D227" s="3" t="s">
        <v>488</v>
      </c>
      <c r="E227" s="3" t="s">
        <v>20</v>
      </c>
      <c r="F227" s="3" t="s">
        <v>257</v>
      </c>
      <c r="G227" s="3" t="s">
        <v>251</v>
      </c>
      <c r="H227" s="3" t="s">
        <v>381</v>
      </c>
      <c r="I227" s="3" t="s">
        <v>20</v>
      </c>
      <c r="J227" s="3" t="s">
        <v>255</v>
      </c>
      <c r="K227" s="3" t="s">
        <v>224</v>
      </c>
      <c r="L227" s="3" t="s">
        <v>29</v>
      </c>
      <c r="M227" s="3" t="s">
        <v>22</v>
      </c>
      <c r="N227" s="3" t="s">
        <v>26</v>
      </c>
      <c r="O227" s="3" t="s">
        <v>343</v>
      </c>
      <c r="P227" s="3" t="s">
        <v>27</v>
      </c>
      <c r="Q227" s="3"/>
      <c r="R227" s="3">
        <v>2</v>
      </c>
      <c r="S227" s="3" t="s">
        <v>224</v>
      </c>
      <c r="T227" s="3">
        <v>83.97</v>
      </c>
      <c r="U227" s="3">
        <v>1</v>
      </c>
      <c r="W227" s="33">
        <f t="shared" si="33"/>
        <v>79.97</v>
      </c>
      <c r="X227" t="s">
        <v>463</v>
      </c>
      <c r="Y227" s="3">
        <f t="shared" si="34"/>
        <v>15</v>
      </c>
      <c r="Z227" s="3">
        <f t="shared" si="44"/>
        <v>1</v>
      </c>
      <c r="AA227" s="3">
        <f t="shared" si="35"/>
        <v>14</v>
      </c>
      <c r="AB227" s="34">
        <f t="shared" si="40"/>
        <v>5</v>
      </c>
      <c r="AC227" s="34">
        <f t="shared" si="41"/>
        <v>14</v>
      </c>
      <c r="AD227" s="35">
        <f t="shared" si="42"/>
        <v>0.26315789473684209</v>
      </c>
      <c r="AE227" s="35">
        <f t="shared" si="43"/>
        <v>0.73684210526315785</v>
      </c>
      <c r="AF227" s="3"/>
    </row>
    <row r="228" spans="1:32" x14ac:dyDescent="0.2">
      <c r="A228" s="3" t="s">
        <v>464</v>
      </c>
      <c r="B228" s="3">
        <v>3.4504794585800611</v>
      </c>
      <c r="C228" s="3">
        <v>-76.543724581113693</v>
      </c>
      <c r="D228" s="3" t="s">
        <v>488</v>
      </c>
      <c r="E228" s="3" t="s">
        <v>20</v>
      </c>
      <c r="F228" s="3" t="s">
        <v>255</v>
      </c>
      <c r="G228" s="3" t="s">
        <v>251</v>
      </c>
      <c r="H228" s="3" t="s">
        <v>254</v>
      </c>
      <c r="I228" s="3" t="s">
        <v>251</v>
      </c>
      <c r="J228" s="3" t="s">
        <v>254</v>
      </c>
      <c r="K228" s="3" t="s">
        <v>233</v>
      </c>
      <c r="L228" s="3" t="s">
        <v>29</v>
      </c>
      <c r="M228" s="3" t="s">
        <v>245</v>
      </c>
      <c r="N228" s="3" t="s">
        <v>26</v>
      </c>
      <c r="O228" s="3" t="s">
        <v>343</v>
      </c>
      <c r="P228" s="3" t="s">
        <v>28</v>
      </c>
      <c r="Q228" s="3"/>
      <c r="R228" s="3">
        <v>2</v>
      </c>
      <c r="S228" s="3" t="s">
        <v>238</v>
      </c>
      <c r="T228" s="3">
        <v>40.57</v>
      </c>
      <c r="U228" s="3">
        <v>0</v>
      </c>
      <c r="W228" s="33">
        <f t="shared" si="33"/>
        <v>40.57</v>
      </c>
      <c r="X228" t="s">
        <v>465</v>
      </c>
      <c r="Y228" s="3">
        <f t="shared" si="34"/>
        <v>8</v>
      </c>
      <c r="Z228" s="3">
        <f t="shared" ref="Z228" si="45">ROUND(Y228*$AI$8,0)</f>
        <v>0</v>
      </c>
      <c r="AA228" s="3">
        <f t="shared" ref="AA228" si="46">Y228-Z228</f>
        <v>8</v>
      </c>
      <c r="AB228" s="34">
        <f t="shared" si="40"/>
        <v>0</v>
      </c>
      <c r="AC228" s="34">
        <f t="shared" si="41"/>
        <v>8</v>
      </c>
      <c r="AD228" s="35">
        <f t="shared" si="42"/>
        <v>0</v>
      </c>
      <c r="AE228" s="35">
        <f t="shared" si="43"/>
        <v>1</v>
      </c>
      <c r="AF228" s="3"/>
    </row>
    <row r="229" spans="1:32" x14ac:dyDescent="0.2">
      <c r="A229" s="3" t="s">
        <v>466</v>
      </c>
      <c r="B229" s="3">
        <v>3.4502992405212898</v>
      </c>
      <c r="C229" s="3">
        <v>-76.544033916666507</v>
      </c>
      <c r="D229" s="3" t="s">
        <v>488</v>
      </c>
      <c r="E229" s="3" t="s">
        <v>20</v>
      </c>
      <c r="F229" s="3" t="s">
        <v>254</v>
      </c>
      <c r="G229" s="3" t="s">
        <v>31</v>
      </c>
      <c r="H229" s="3" t="s">
        <v>371</v>
      </c>
      <c r="I229" s="3" t="s">
        <v>251</v>
      </c>
      <c r="J229" s="3" t="s">
        <v>381</v>
      </c>
      <c r="K229" s="3" t="s">
        <v>211</v>
      </c>
      <c r="L229" s="3" t="s">
        <v>21</v>
      </c>
      <c r="M229" s="3" t="s">
        <v>28</v>
      </c>
      <c r="N229" s="3" t="s">
        <v>26</v>
      </c>
      <c r="O229" s="3" t="s">
        <v>343</v>
      </c>
      <c r="P229" s="3" t="s">
        <v>28</v>
      </c>
      <c r="Q229" s="3"/>
      <c r="R229" s="3">
        <v>2</v>
      </c>
      <c r="S229" s="3" t="s">
        <v>238</v>
      </c>
      <c r="T229" s="3">
        <v>66.72</v>
      </c>
      <c r="U229" s="3">
        <v>3</v>
      </c>
      <c r="W229" s="33">
        <f t="shared" si="33"/>
        <v>54.72</v>
      </c>
      <c r="X229" t="s">
        <v>467</v>
      </c>
      <c r="Y229" s="3">
        <f t="shared" si="34"/>
        <v>10</v>
      </c>
      <c r="Z229" s="3">
        <f t="shared" si="44"/>
        <v>0</v>
      </c>
      <c r="AA229" s="3">
        <f t="shared" si="35"/>
        <v>10</v>
      </c>
      <c r="AB229" s="34">
        <f t="shared" si="40"/>
        <v>0</v>
      </c>
      <c r="AC229" s="34">
        <f t="shared" si="41"/>
        <v>10</v>
      </c>
      <c r="AD229" s="35">
        <f t="shared" si="42"/>
        <v>0</v>
      </c>
      <c r="AE229" s="35">
        <f t="shared" si="43"/>
        <v>1</v>
      </c>
      <c r="AF229" s="3"/>
    </row>
    <row r="230" spans="1:32" x14ac:dyDescent="0.2">
      <c r="A230" s="3" t="s">
        <v>468</v>
      </c>
      <c r="B230" s="3">
        <v>3.4504794432899799</v>
      </c>
      <c r="C230" s="3">
        <v>-76.544343261061996</v>
      </c>
      <c r="D230" s="3" t="s">
        <v>488</v>
      </c>
      <c r="E230" s="3" t="s">
        <v>20</v>
      </c>
      <c r="F230" s="3" t="s">
        <v>257</v>
      </c>
      <c r="G230" s="3" t="s">
        <v>31</v>
      </c>
      <c r="H230" s="3" t="s">
        <v>371</v>
      </c>
      <c r="I230" s="3" t="s">
        <v>251</v>
      </c>
      <c r="J230" s="3" t="s">
        <v>254</v>
      </c>
      <c r="K230" s="3" t="s">
        <v>224</v>
      </c>
      <c r="L230" s="3" t="s">
        <v>29</v>
      </c>
      <c r="M230" s="3" t="s">
        <v>22</v>
      </c>
      <c r="N230" s="3" t="s">
        <v>26</v>
      </c>
      <c r="O230" s="3" t="s">
        <v>343</v>
      </c>
      <c r="P230" s="3" t="s">
        <v>28</v>
      </c>
      <c r="Q230" s="3"/>
      <c r="R230" s="3">
        <v>2</v>
      </c>
      <c r="S230" s="3" t="s">
        <v>224</v>
      </c>
      <c r="T230" s="3">
        <v>40.97</v>
      </c>
      <c r="U230" s="3">
        <v>0</v>
      </c>
      <c r="W230" s="33">
        <f t="shared" si="33"/>
        <v>40.97</v>
      </c>
      <c r="X230" t="s">
        <v>469</v>
      </c>
      <c r="Y230" s="3">
        <f t="shared" si="34"/>
        <v>8</v>
      </c>
      <c r="Z230" s="3">
        <f t="shared" si="44"/>
        <v>0</v>
      </c>
      <c r="AA230" s="3">
        <f t="shared" si="35"/>
        <v>8</v>
      </c>
      <c r="AB230" s="34">
        <f t="shared" si="40"/>
        <v>0</v>
      </c>
      <c r="AC230" s="34">
        <f t="shared" si="41"/>
        <v>8</v>
      </c>
      <c r="AD230" s="35">
        <f t="shared" ref="AD230:AD238" si="47">AB230/(AB230+AC230)</f>
        <v>0</v>
      </c>
      <c r="AE230" s="35">
        <f t="shared" ref="AE230:AE238" si="48">AC230/(AB230+AC230)</f>
        <v>1</v>
      </c>
      <c r="AF230" s="3"/>
    </row>
    <row r="231" spans="1:32" x14ac:dyDescent="0.2">
      <c r="A231" s="3" t="s">
        <v>470</v>
      </c>
      <c r="B231" s="3">
        <v>3.44963786747239</v>
      </c>
      <c r="C231" s="3">
        <v>-76.541403332154999</v>
      </c>
      <c r="D231" s="3" t="s">
        <v>488</v>
      </c>
      <c r="E231" s="3" t="s">
        <v>471</v>
      </c>
      <c r="F231" s="3" t="s">
        <v>472</v>
      </c>
      <c r="G231" s="3" t="s">
        <v>20</v>
      </c>
      <c r="H231" s="3" t="s">
        <v>256</v>
      </c>
      <c r="I231" s="3" t="s">
        <v>251</v>
      </c>
      <c r="J231" s="3" t="s">
        <v>255</v>
      </c>
      <c r="K231" s="3"/>
      <c r="L231" s="3"/>
      <c r="M231" s="3" t="s">
        <v>22</v>
      </c>
      <c r="N231" s="3" t="s">
        <v>26</v>
      </c>
      <c r="O231" s="3" t="s">
        <v>343</v>
      </c>
      <c r="P231" s="3" t="s">
        <v>28</v>
      </c>
      <c r="Q231" s="3"/>
      <c r="R231" s="3">
        <v>2</v>
      </c>
      <c r="S231" s="3" t="s">
        <v>238</v>
      </c>
      <c r="T231" s="3">
        <v>61.55</v>
      </c>
      <c r="U231" s="3">
        <v>1</v>
      </c>
      <c r="W231" s="33">
        <f t="shared" si="33"/>
        <v>57.55</v>
      </c>
      <c r="X231" t="s">
        <v>473</v>
      </c>
      <c r="Y231" s="3">
        <f t="shared" si="34"/>
        <v>11</v>
      </c>
      <c r="Z231" s="3">
        <f t="shared" si="44"/>
        <v>1</v>
      </c>
      <c r="AA231" s="3">
        <f t="shared" si="35"/>
        <v>10</v>
      </c>
      <c r="AB231" s="34">
        <f t="shared" si="40"/>
        <v>5</v>
      </c>
      <c r="AC231" s="34">
        <f t="shared" si="41"/>
        <v>10</v>
      </c>
      <c r="AD231" s="35">
        <f t="shared" si="47"/>
        <v>0.33333333333333331</v>
      </c>
      <c r="AE231" s="35">
        <f t="shared" si="48"/>
        <v>0.66666666666666663</v>
      </c>
      <c r="AF231" s="3"/>
    </row>
    <row r="232" spans="1:32" x14ac:dyDescent="0.2">
      <c r="A232" s="3" t="s">
        <v>474</v>
      </c>
      <c r="B232" s="3">
        <v>3.4494212543481</v>
      </c>
      <c r="C232" s="3">
        <v>-76.540826193974695</v>
      </c>
      <c r="D232" s="3" t="s">
        <v>488</v>
      </c>
      <c r="E232" s="3" t="s">
        <v>251</v>
      </c>
      <c r="F232" s="3" t="s">
        <v>254</v>
      </c>
      <c r="G232" s="3" t="s">
        <v>20</v>
      </c>
      <c r="H232" s="3" t="s">
        <v>256</v>
      </c>
      <c r="I232" s="3" t="s">
        <v>251</v>
      </c>
      <c r="J232" s="3" t="s">
        <v>255</v>
      </c>
      <c r="K232" s="3" t="s">
        <v>211</v>
      </c>
      <c r="L232" s="3" t="s">
        <v>29</v>
      </c>
      <c r="M232" s="3" t="s">
        <v>28</v>
      </c>
      <c r="N232" s="3" t="s">
        <v>26</v>
      </c>
      <c r="O232" s="3" t="s">
        <v>343</v>
      </c>
      <c r="P232" s="3" t="s">
        <v>28</v>
      </c>
      <c r="Q232" s="3"/>
      <c r="R232" s="3">
        <v>2</v>
      </c>
      <c r="S232" s="3" t="s">
        <v>238</v>
      </c>
      <c r="T232" s="3">
        <v>55.89</v>
      </c>
      <c r="U232" s="3">
        <v>4</v>
      </c>
      <c r="W232" s="33">
        <f t="shared" si="33"/>
        <v>39.89</v>
      </c>
      <c r="X232" t="s">
        <v>475</v>
      </c>
      <c r="Y232" s="3">
        <f t="shared" si="34"/>
        <v>7</v>
      </c>
      <c r="Z232" s="3">
        <f t="shared" si="44"/>
        <v>0</v>
      </c>
      <c r="AA232" s="3">
        <f t="shared" si="35"/>
        <v>7</v>
      </c>
      <c r="AB232" s="34">
        <f t="shared" si="40"/>
        <v>0</v>
      </c>
      <c r="AC232" s="34">
        <f t="shared" si="41"/>
        <v>7</v>
      </c>
      <c r="AD232" s="35">
        <f t="shared" si="47"/>
        <v>0</v>
      </c>
      <c r="AE232" s="35">
        <f t="shared" si="48"/>
        <v>1</v>
      </c>
      <c r="AF232" s="3"/>
    </row>
    <row r="233" spans="1:32" x14ac:dyDescent="0.2">
      <c r="A233" s="3" t="s">
        <v>476</v>
      </c>
      <c r="B233" s="3">
        <v>3.4494212290186099</v>
      </c>
      <c r="C233" s="3">
        <v>-76.541980460899296</v>
      </c>
      <c r="D233" s="3" t="s">
        <v>488</v>
      </c>
      <c r="E233" s="3" t="s">
        <v>20</v>
      </c>
      <c r="F233" s="3" t="s">
        <v>253</v>
      </c>
      <c r="G233" s="3" t="s">
        <v>251</v>
      </c>
      <c r="H233" s="3" t="s">
        <v>255</v>
      </c>
      <c r="I233" s="3" t="s">
        <v>251</v>
      </c>
      <c r="J233" s="3" t="s">
        <v>255</v>
      </c>
      <c r="K233" s="3" t="s">
        <v>233</v>
      </c>
      <c r="L233" s="3" t="s">
        <v>21</v>
      </c>
      <c r="M233" s="3" t="s">
        <v>28</v>
      </c>
      <c r="N233" s="3" t="s">
        <v>26</v>
      </c>
      <c r="O233" s="3" t="s">
        <v>343</v>
      </c>
      <c r="P233" s="3" t="s">
        <v>28</v>
      </c>
      <c r="Q233" s="3"/>
      <c r="R233" s="3">
        <v>2</v>
      </c>
      <c r="S233" s="3" t="s">
        <v>238</v>
      </c>
      <c r="T233" s="3">
        <v>49.8</v>
      </c>
      <c r="U233" s="3">
        <v>1</v>
      </c>
      <c r="W233" s="33">
        <f t="shared" ref="W233:W238" si="49">T233-4*U233</f>
        <v>45.8</v>
      </c>
      <c r="X233" t="s">
        <v>477</v>
      </c>
      <c r="Y233" s="3">
        <f t="shared" ref="Y233:Y238" si="50">_xlfn.FLOOR.MATH(W233/$AI$2)</f>
        <v>9</v>
      </c>
      <c r="Z233" s="3">
        <f t="shared" si="44"/>
        <v>0</v>
      </c>
      <c r="AA233" s="3">
        <f t="shared" ref="AA233:AA238" si="51">Y233-Z233</f>
        <v>9</v>
      </c>
      <c r="AB233" s="34">
        <f t="shared" si="40"/>
        <v>0</v>
      </c>
      <c r="AC233" s="34">
        <f t="shared" si="41"/>
        <v>9</v>
      </c>
      <c r="AD233" s="35">
        <f t="shared" si="47"/>
        <v>0</v>
      </c>
      <c r="AE233" s="35">
        <f t="shared" si="48"/>
        <v>1</v>
      </c>
      <c r="AF233" s="3"/>
    </row>
    <row r="234" spans="1:32" x14ac:dyDescent="0.2">
      <c r="A234" s="3" t="s">
        <v>478</v>
      </c>
      <c r="B234" s="3">
        <v>3.4504359224227898</v>
      </c>
      <c r="C234" s="3">
        <v>-76.541477212825598</v>
      </c>
      <c r="D234" s="3" t="s">
        <v>488</v>
      </c>
      <c r="E234" s="3" t="s">
        <v>20</v>
      </c>
      <c r="F234" s="3" t="s">
        <v>253</v>
      </c>
      <c r="G234" s="3" t="s">
        <v>251</v>
      </c>
      <c r="H234" s="3" t="s">
        <v>254</v>
      </c>
      <c r="I234" s="3" t="s">
        <v>400</v>
      </c>
      <c r="J234" s="3" t="s">
        <v>400</v>
      </c>
      <c r="K234" s="3"/>
      <c r="L234" s="3"/>
      <c r="M234" s="3"/>
      <c r="N234" s="3" t="s">
        <v>24</v>
      </c>
      <c r="O234" s="3" t="s">
        <v>343</v>
      </c>
      <c r="P234" s="3"/>
      <c r="Q234" s="3"/>
      <c r="R234" s="3">
        <v>2</v>
      </c>
      <c r="S234" s="3" t="s">
        <v>238</v>
      </c>
      <c r="T234" s="3">
        <v>60.59</v>
      </c>
      <c r="U234" s="3">
        <v>0</v>
      </c>
      <c r="W234" s="33">
        <f t="shared" si="49"/>
        <v>60.59</v>
      </c>
      <c r="X234" t="s">
        <v>479</v>
      </c>
      <c r="Y234" s="3">
        <f t="shared" si="50"/>
        <v>12</v>
      </c>
      <c r="Z234" s="3">
        <f t="shared" si="44"/>
        <v>1</v>
      </c>
      <c r="AA234" s="3">
        <f t="shared" si="51"/>
        <v>11</v>
      </c>
      <c r="AB234" s="34">
        <f t="shared" si="40"/>
        <v>5</v>
      </c>
      <c r="AC234" s="34">
        <f t="shared" si="41"/>
        <v>11</v>
      </c>
      <c r="AD234" s="35">
        <f t="shared" si="47"/>
        <v>0.3125</v>
      </c>
      <c r="AE234" s="35">
        <f t="shared" si="48"/>
        <v>0.6875</v>
      </c>
      <c r="AF234" s="3"/>
    </row>
    <row r="235" spans="1:32" x14ac:dyDescent="0.2">
      <c r="A235" s="3" t="s">
        <v>480</v>
      </c>
      <c r="B235" s="3">
        <v>3.4501751738926698</v>
      </c>
      <c r="C235" s="3">
        <v>-76.541127471703604</v>
      </c>
      <c r="D235" s="3" t="s">
        <v>488</v>
      </c>
      <c r="E235" s="3" t="s">
        <v>20</v>
      </c>
      <c r="F235" s="3" t="s">
        <v>256</v>
      </c>
      <c r="G235" s="3" t="s">
        <v>251</v>
      </c>
      <c r="H235" s="3" t="s">
        <v>253</v>
      </c>
      <c r="I235" s="3" t="s">
        <v>251</v>
      </c>
      <c r="J235" s="3" t="s">
        <v>254</v>
      </c>
      <c r="K235" s="3" t="s">
        <v>229</v>
      </c>
      <c r="L235" s="3" t="s">
        <v>21</v>
      </c>
      <c r="M235" s="3" t="s">
        <v>245</v>
      </c>
      <c r="N235" s="3" t="s">
        <v>26</v>
      </c>
      <c r="O235" s="3" t="s">
        <v>343</v>
      </c>
      <c r="P235" s="3" t="s">
        <v>28</v>
      </c>
      <c r="Q235" s="3"/>
      <c r="R235" s="3">
        <v>2</v>
      </c>
      <c r="S235" s="3" t="s">
        <v>238</v>
      </c>
      <c r="T235" s="3">
        <v>52.43</v>
      </c>
      <c r="U235" s="3">
        <v>2</v>
      </c>
      <c r="W235" s="33">
        <f t="shared" si="49"/>
        <v>44.43</v>
      </c>
      <c r="X235" t="s">
        <v>481</v>
      </c>
      <c r="Y235" s="3">
        <f t="shared" si="50"/>
        <v>8</v>
      </c>
      <c r="Z235" s="3">
        <f t="shared" si="44"/>
        <v>0</v>
      </c>
      <c r="AA235" s="3">
        <f t="shared" si="51"/>
        <v>8</v>
      </c>
      <c r="AB235" s="34">
        <f t="shared" si="40"/>
        <v>0</v>
      </c>
      <c r="AC235" s="34">
        <f t="shared" si="41"/>
        <v>8</v>
      </c>
      <c r="AD235" s="35">
        <f t="shared" si="47"/>
        <v>0</v>
      </c>
      <c r="AE235" s="35">
        <f t="shared" si="48"/>
        <v>1</v>
      </c>
      <c r="AF235" s="3"/>
    </row>
    <row r="236" spans="1:32" x14ac:dyDescent="0.2">
      <c r="A236" s="3" t="s">
        <v>482</v>
      </c>
      <c r="B236" s="3">
        <v>3.44984823700424</v>
      </c>
      <c r="C236" s="3">
        <v>-76.541477199978402</v>
      </c>
      <c r="D236" s="3" t="s">
        <v>488</v>
      </c>
      <c r="E236" s="3" t="s">
        <v>251</v>
      </c>
      <c r="F236" s="3" t="s">
        <v>254</v>
      </c>
      <c r="G236" s="3" t="s">
        <v>251</v>
      </c>
      <c r="H236" s="3" t="s">
        <v>253</v>
      </c>
      <c r="I236" s="3" t="s">
        <v>251</v>
      </c>
      <c r="J236" s="3" t="s">
        <v>255</v>
      </c>
      <c r="K236" s="3" t="s">
        <v>211</v>
      </c>
      <c r="L236" s="3" t="s">
        <v>21</v>
      </c>
      <c r="M236" s="3" t="s">
        <v>247</v>
      </c>
      <c r="N236" s="3" t="s">
        <v>26</v>
      </c>
      <c r="O236" s="3" t="s">
        <v>343</v>
      </c>
      <c r="P236" s="3" t="s">
        <v>28</v>
      </c>
      <c r="Q236" s="3"/>
      <c r="R236" s="3">
        <v>2</v>
      </c>
      <c r="S236" s="3" t="s">
        <v>238</v>
      </c>
      <c r="T236" s="3">
        <v>62.9</v>
      </c>
      <c r="U236" s="3">
        <v>1</v>
      </c>
      <c r="W236" s="33">
        <f t="shared" si="49"/>
        <v>58.9</v>
      </c>
      <c r="X236" t="s">
        <v>483</v>
      </c>
      <c r="Y236" s="3">
        <f t="shared" si="50"/>
        <v>11</v>
      </c>
      <c r="Z236" s="3">
        <f t="shared" si="44"/>
        <v>1</v>
      </c>
      <c r="AA236" s="3">
        <f t="shared" si="51"/>
        <v>10</v>
      </c>
      <c r="AB236" s="34">
        <f t="shared" si="40"/>
        <v>5</v>
      </c>
      <c r="AC236" s="34">
        <f t="shared" si="41"/>
        <v>10</v>
      </c>
      <c r="AD236" s="35">
        <f t="shared" si="47"/>
        <v>0.33333333333333331</v>
      </c>
      <c r="AE236" s="35">
        <f t="shared" si="48"/>
        <v>0.66666666666666663</v>
      </c>
      <c r="AF236" s="3"/>
    </row>
    <row r="237" spans="1:32" x14ac:dyDescent="0.2">
      <c r="A237" s="3" t="s">
        <v>484</v>
      </c>
      <c r="B237" s="3">
        <v>3.45017515848894</v>
      </c>
      <c r="C237" s="3">
        <v>-76.541826942546393</v>
      </c>
      <c r="D237" s="3" t="s">
        <v>488</v>
      </c>
      <c r="E237" s="3" t="s">
        <v>20</v>
      </c>
      <c r="F237" s="3" t="s">
        <v>253</v>
      </c>
      <c r="G237" s="3" t="s">
        <v>251</v>
      </c>
      <c r="H237" s="3" t="s">
        <v>253</v>
      </c>
      <c r="I237" s="3" t="s">
        <v>20</v>
      </c>
      <c r="J237" s="3" t="s">
        <v>254</v>
      </c>
      <c r="K237" s="3" t="s">
        <v>233</v>
      </c>
      <c r="L237" s="3" t="s">
        <v>21</v>
      </c>
      <c r="M237" s="3" t="s">
        <v>22</v>
      </c>
      <c r="N237" s="3" t="s">
        <v>26</v>
      </c>
      <c r="O237" s="3" t="s">
        <v>343</v>
      </c>
      <c r="P237" s="3" t="s">
        <v>28</v>
      </c>
      <c r="Q237" s="3"/>
      <c r="R237" s="3">
        <v>2</v>
      </c>
      <c r="S237" s="3" t="s">
        <v>238</v>
      </c>
      <c r="T237" s="3">
        <v>50.32</v>
      </c>
      <c r="U237" s="3">
        <v>4</v>
      </c>
      <c r="W237" s="33">
        <f t="shared" si="49"/>
        <v>34.32</v>
      </c>
      <c r="X237" t="s">
        <v>485</v>
      </c>
      <c r="Y237" s="3">
        <f t="shared" si="50"/>
        <v>6</v>
      </c>
      <c r="Z237" s="3">
        <f t="shared" si="44"/>
        <v>0</v>
      </c>
      <c r="AA237" s="3">
        <f t="shared" si="51"/>
        <v>6</v>
      </c>
      <c r="AB237" s="34">
        <f t="shared" si="40"/>
        <v>0</v>
      </c>
      <c r="AC237" s="34">
        <f t="shared" si="41"/>
        <v>6</v>
      </c>
      <c r="AD237" s="35">
        <f t="shared" si="47"/>
        <v>0</v>
      </c>
      <c r="AE237" s="35">
        <f t="shared" si="48"/>
        <v>1</v>
      </c>
      <c r="AF237" s="3"/>
    </row>
    <row r="238" spans="1:32" x14ac:dyDescent="0.2">
      <c r="A238" s="3" t="s">
        <v>486</v>
      </c>
      <c r="B238" s="3">
        <v>3.4506335554682499</v>
      </c>
      <c r="C238" s="3">
        <v>-76.540935132925696</v>
      </c>
      <c r="D238" s="3" t="s">
        <v>488</v>
      </c>
      <c r="E238" s="3" t="s">
        <v>20</v>
      </c>
      <c r="F238" s="3" t="s">
        <v>256</v>
      </c>
      <c r="G238" s="3" t="s">
        <v>31</v>
      </c>
      <c r="H238" s="3" t="s">
        <v>371</v>
      </c>
      <c r="I238" s="3" t="s">
        <v>31</v>
      </c>
      <c r="J238" s="3" t="s">
        <v>371</v>
      </c>
      <c r="K238" s="3" t="s">
        <v>233</v>
      </c>
      <c r="L238" s="3" t="s">
        <v>29</v>
      </c>
      <c r="M238" s="3"/>
      <c r="N238" s="3" t="s">
        <v>24</v>
      </c>
      <c r="O238" s="3" t="s">
        <v>343</v>
      </c>
      <c r="P238" s="3"/>
      <c r="Q238" s="3"/>
      <c r="R238" s="3">
        <v>2</v>
      </c>
      <c r="S238" s="3" t="s">
        <v>238</v>
      </c>
      <c r="T238" s="3">
        <v>31.48</v>
      </c>
      <c r="U238" s="3">
        <v>0</v>
      </c>
      <c r="W238" s="33">
        <f t="shared" si="49"/>
        <v>31.48</v>
      </c>
      <c r="X238" t="s">
        <v>487</v>
      </c>
      <c r="Y238" s="3">
        <f t="shared" si="50"/>
        <v>6</v>
      </c>
      <c r="Z238" s="3">
        <f t="shared" si="44"/>
        <v>0</v>
      </c>
      <c r="AA238" s="3">
        <f t="shared" si="51"/>
        <v>6</v>
      </c>
      <c r="AB238" s="34">
        <f t="shared" si="40"/>
        <v>0</v>
      </c>
      <c r="AC238" s="34">
        <f t="shared" si="41"/>
        <v>6</v>
      </c>
      <c r="AD238" s="35">
        <f t="shared" si="47"/>
        <v>0</v>
      </c>
      <c r="AE238" s="35">
        <f t="shared" si="48"/>
        <v>1</v>
      </c>
      <c r="AF238" s="3"/>
    </row>
  </sheetData>
  <autoFilter ref="A1:AK238" xr:uid="{D980DCC4-E685-4A60-988F-2757011391D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diieegoo maartiineez</dc:creator>
  <cp:lastModifiedBy>Luis González</cp:lastModifiedBy>
  <dcterms:created xsi:type="dcterms:W3CDTF">2025-12-02T03:55:16Z</dcterms:created>
  <dcterms:modified xsi:type="dcterms:W3CDTF">2025-12-13T15:37:59Z</dcterms:modified>
</cp:coreProperties>
</file>