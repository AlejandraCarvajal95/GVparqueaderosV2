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uise\Desktop\Grupo Vial\Estacionamientos - P.Perro - Centenario -\Actualizacion 3 ene 2026\"/>
    </mc:Choice>
  </mc:AlternateContent>
  <xr:revisionPtr revIDLastSave="0" documentId="13_ncr:1_{BA6847FA-59AB-4643-93C2-894619B54FB2}" xr6:coauthVersionLast="47" xr6:coauthVersionMax="47" xr10:uidLastSave="{00000000-0000-0000-0000-000000000000}"/>
  <bookViews>
    <workbookView xWindow="-110" yWindow="-110" windowWidth="25820" windowHeight="14020" activeTab="1" xr2:uid="{00000000-000D-0000-FFFF-FFFF00000000}"/>
  </bookViews>
  <sheets>
    <sheet name="F. Salidas" sheetId="4" r:id="rId1"/>
    <sheet name="F. Llegadas" sheetId="3" r:id="rId2"/>
    <sheet name="TD" sheetId="2" r:id="rId3"/>
    <sheet name="BD" sheetId="1" r:id="rId4"/>
  </sheet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3" l="1"/>
  <c r="N18" i="3" s="1"/>
  <c r="N19" i="3" s="1"/>
  <c r="N20" i="3" s="1"/>
  <c r="N21" i="3" s="1"/>
  <c r="N16" i="3"/>
  <c r="O11" i="3"/>
  <c r="O10" i="3"/>
  <c r="O19" i="4" l="1"/>
  <c r="P19" i="4"/>
  <c r="O12" i="4"/>
  <c r="Z21" i="4"/>
  <c r="AR21" i="4" s="1"/>
  <c r="Y21" i="4"/>
  <c r="AQ21" i="4" s="1"/>
  <c r="W21" i="4"/>
  <c r="AO21" i="4" s="1"/>
  <c r="V21" i="4"/>
  <c r="AB21" i="4" s="1"/>
  <c r="T21" i="4"/>
  <c r="AL21" i="4" s="1"/>
  <c r="S21" i="4"/>
  <c r="AK21" i="4" s="1"/>
  <c r="Q21" i="4"/>
  <c r="AI21" i="4" s="1"/>
  <c r="P21" i="4"/>
  <c r="AH21" i="4" s="1"/>
  <c r="AR20" i="4"/>
  <c r="AQ20" i="4"/>
  <c r="AF20" i="4"/>
  <c r="AE20" i="4"/>
  <c r="AC20" i="4"/>
  <c r="Z20" i="4"/>
  <c r="Y20" i="4"/>
  <c r="W20" i="4"/>
  <c r="AO20" i="4" s="1"/>
  <c r="V20" i="4"/>
  <c r="AN20" i="4" s="1"/>
  <c r="T20" i="4"/>
  <c r="AL20" i="4" s="1"/>
  <c r="S20" i="4"/>
  <c r="AK20" i="4" s="1"/>
  <c r="Q20" i="4"/>
  <c r="AI20" i="4" s="1"/>
  <c r="P20" i="4"/>
  <c r="AH20" i="4" s="1"/>
  <c r="Z19" i="4"/>
  <c r="AF19" i="4" s="1"/>
  <c r="Y19" i="4"/>
  <c r="AQ19" i="4" s="1"/>
  <c r="W19" i="4"/>
  <c r="AO19" i="4" s="1"/>
  <c r="V19" i="4"/>
  <c r="AN19" i="4" s="1"/>
  <c r="T19" i="4"/>
  <c r="AL19" i="4" s="1"/>
  <c r="S19" i="4"/>
  <c r="AK19" i="4" s="1"/>
  <c r="Q19" i="4"/>
  <c r="AI19" i="4" s="1"/>
  <c r="AH19" i="4"/>
  <c r="Z18" i="4"/>
  <c r="AF18" i="4" s="1"/>
  <c r="Y18" i="4"/>
  <c r="AE18" i="4" s="1"/>
  <c r="X18" i="4"/>
  <c r="W18" i="4"/>
  <c r="AC18" i="4" s="1"/>
  <c r="V18" i="4"/>
  <c r="AN18" i="4" s="1"/>
  <c r="U18" i="4"/>
  <c r="U19" i="4" s="1"/>
  <c r="T18" i="4"/>
  <c r="AL18" i="4" s="1"/>
  <c r="S18" i="4"/>
  <c r="AK18" i="4" s="1"/>
  <c r="R18" i="4"/>
  <c r="AJ18" i="4" s="1"/>
  <c r="Q18" i="4"/>
  <c r="AI18" i="4" s="1"/>
  <c r="P18" i="4"/>
  <c r="AH18" i="4" s="1"/>
  <c r="O18" i="4"/>
  <c r="AG18" i="4" s="1"/>
  <c r="Z17" i="4"/>
  <c r="AF17" i="4" s="1"/>
  <c r="Y17" i="4"/>
  <c r="AE17" i="4" s="1"/>
  <c r="X17" i="4"/>
  <c r="AD17" i="4" s="1"/>
  <c r="W17" i="4"/>
  <c r="AC17" i="4" s="1"/>
  <c r="V17" i="4"/>
  <c r="AN17" i="4" s="1"/>
  <c r="U17" i="4"/>
  <c r="AA17" i="4" s="1"/>
  <c r="T17" i="4"/>
  <c r="AL17" i="4" s="1"/>
  <c r="S17" i="4"/>
  <c r="AK17" i="4" s="1"/>
  <c r="R17" i="4"/>
  <c r="AJ17" i="4" s="1"/>
  <c r="Q17" i="4"/>
  <c r="AI17" i="4" s="1"/>
  <c r="P17" i="4"/>
  <c r="AH17" i="4" s="1"/>
  <c r="O17" i="4"/>
  <c r="AG17" i="4" s="1"/>
  <c r="Z16" i="4"/>
  <c r="AF16" i="4" s="1"/>
  <c r="Y16" i="4"/>
  <c r="AE16" i="4" s="1"/>
  <c r="X16" i="4"/>
  <c r="AD16" i="4" s="1"/>
  <c r="W16" i="4"/>
  <c r="AC16" i="4" s="1"/>
  <c r="V16" i="4"/>
  <c r="AB16" i="4" s="1"/>
  <c r="U16" i="4"/>
  <c r="AA16" i="4" s="1"/>
  <c r="T16" i="4"/>
  <c r="AL16" i="4" s="1"/>
  <c r="S16" i="4"/>
  <c r="AK16" i="4" s="1"/>
  <c r="R16" i="4"/>
  <c r="AJ16" i="4" s="1"/>
  <c r="Q16" i="4"/>
  <c r="AI16" i="4" s="1"/>
  <c r="P16" i="4"/>
  <c r="AH16" i="4" s="1"/>
  <c r="O16" i="4"/>
  <c r="AG16" i="4" s="1"/>
  <c r="Z15" i="4"/>
  <c r="AF15" i="4" s="1"/>
  <c r="Y15" i="4"/>
  <c r="AE15" i="4" s="1"/>
  <c r="X15" i="4"/>
  <c r="AD15" i="4" s="1"/>
  <c r="W15" i="4"/>
  <c r="AC15" i="4" s="1"/>
  <c r="V15" i="4"/>
  <c r="AB15" i="4" s="1"/>
  <c r="U15" i="4"/>
  <c r="AA15" i="4" s="1"/>
  <c r="T15" i="4"/>
  <c r="AL15" i="4" s="1"/>
  <c r="S15" i="4"/>
  <c r="AK15" i="4" s="1"/>
  <c r="R15" i="4"/>
  <c r="AJ15" i="4" s="1"/>
  <c r="Q15" i="4"/>
  <c r="AI15" i="4" s="1"/>
  <c r="P15" i="4"/>
  <c r="AH15" i="4" s="1"/>
  <c r="O15" i="4"/>
  <c r="AG15" i="4" s="1"/>
  <c r="Z14" i="4"/>
  <c r="AR14" i="4" s="1"/>
  <c r="Y14" i="4"/>
  <c r="AQ14" i="4" s="1"/>
  <c r="X14" i="4"/>
  <c r="AD14" i="4" s="1"/>
  <c r="W14" i="4"/>
  <c r="AC14" i="4" s="1"/>
  <c r="V14" i="4"/>
  <c r="AB14" i="4" s="1"/>
  <c r="U14" i="4"/>
  <c r="AA14" i="4" s="1"/>
  <c r="T14" i="4"/>
  <c r="AL14" i="4" s="1"/>
  <c r="S14" i="4"/>
  <c r="AK14" i="4" s="1"/>
  <c r="R14" i="4"/>
  <c r="AJ14" i="4" s="1"/>
  <c r="Q14" i="4"/>
  <c r="AI14" i="4" s="1"/>
  <c r="P14" i="4"/>
  <c r="AH14" i="4" s="1"/>
  <c r="O14" i="4"/>
  <c r="AG14" i="4" s="1"/>
  <c r="AF13" i="4"/>
  <c r="AE13" i="4"/>
  <c r="Z13" i="4"/>
  <c r="AR13" i="4" s="1"/>
  <c r="Y13" i="4"/>
  <c r="AQ13" i="4" s="1"/>
  <c r="X13" i="4"/>
  <c r="AP13" i="4" s="1"/>
  <c r="W13" i="4"/>
  <c r="AO13" i="4" s="1"/>
  <c r="V13" i="4"/>
  <c r="AB13" i="4" s="1"/>
  <c r="U13" i="4"/>
  <c r="AA13" i="4" s="1"/>
  <c r="T13" i="4"/>
  <c r="AL13" i="4" s="1"/>
  <c r="S13" i="4"/>
  <c r="AK13" i="4" s="1"/>
  <c r="R13" i="4"/>
  <c r="AJ13" i="4" s="1"/>
  <c r="Q13" i="4"/>
  <c r="AI13" i="4" s="1"/>
  <c r="P13" i="4"/>
  <c r="AH13" i="4" s="1"/>
  <c r="O13" i="4"/>
  <c r="AG13" i="4" s="1"/>
  <c r="AR12" i="4"/>
  <c r="AQ12" i="4"/>
  <c r="Z12" i="4"/>
  <c r="AF12" i="4" s="1"/>
  <c r="Y12" i="4"/>
  <c r="AE12" i="4" s="1"/>
  <c r="X12" i="4"/>
  <c r="AP12" i="4" s="1"/>
  <c r="W12" i="4"/>
  <c r="AO12" i="4" s="1"/>
  <c r="V12" i="4"/>
  <c r="AN12" i="4" s="1"/>
  <c r="U12" i="4"/>
  <c r="AM12" i="4" s="1"/>
  <c r="T12" i="4"/>
  <c r="AL12" i="4" s="1"/>
  <c r="S12" i="4"/>
  <c r="AK12" i="4" s="1"/>
  <c r="R12" i="4"/>
  <c r="AJ12" i="4" s="1"/>
  <c r="Q12" i="4"/>
  <c r="AI12" i="4" s="1"/>
  <c r="P12" i="4"/>
  <c r="AH12" i="4" s="1"/>
  <c r="AG12" i="4"/>
  <c r="Z11" i="4"/>
  <c r="AF11" i="4" s="1"/>
  <c r="Y11" i="4"/>
  <c r="AQ11" i="4" s="1"/>
  <c r="X11" i="4"/>
  <c r="AP11" i="4" s="1"/>
  <c r="W11" i="4"/>
  <c r="AO11" i="4" s="1"/>
  <c r="V11" i="4"/>
  <c r="AN11" i="4" s="1"/>
  <c r="U11" i="4"/>
  <c r="AM11" i="4" s="1"/>
  <c r="T11" i="4"/>
  <c r="AL11" i="4" s="1"/>
  <c r="S11" i="4"/>
  <c r="AK11" i="4" s="1"/>
  <c r="R11" i="4"/>
  <c r="AJ11" i="4" s="1"/>
  <c r="Q11" i="4"/>
  <c r="AI11" i="4" s="1"/>
  <c r="P11" i="4"/>
  <c r="AH11" i="4" s="1"/>
  <c r="O11" i="4"/>
  <c r="AG11" i="4" s="1"/>
  <c r="Z10" i="4"/>
  <c r="AF10" i="4" s="1"/>
  <c r="Y10" i="4"/>
  <c r="AE10" i="4" s="1"/>
  <c r="X10" i="4"/>
  <c r="AD10" i="4" s="1"/>
  <c r="W10" i="4"/>
  <c r="AC10" i="4" s="1"/>
  <c r="V10" i="4"/>
  <c r="AN10" i="4" s="1"/>
  <c r="U10" i="4"/>
  <c r="AA10" i="4" s="1"/>
  <c r="T10" i="4"/>
  <c r="AL10" i="4" s="1"/>
  <c r="S10" i="4"/>
  <c r="AK10" i="4" s="1"/>
  <c r="R10" i="4"/>
  <c r="AJ10" i="4" s="1"/>
  <c r="Q10" i="4"/>
  <c r="AI10" i="4" s="1"/>
  <c r="P10" i="4"/>
  <c r="AH10" i="4" s="1"/>
  <c r="O10" i="4"/>
  <c r="AG10" i="4" s="1"/>
  <c r="Z9" i="4"/>
  <c r="AF9" i="4" s="1"/>
  <c r="Y9" i="4"/>
  <c r="AE9" i="4" s="1"/>
  <c r="X9" i="4"/>
  <c r="AD9" i="4" s="1"/>
  <c r="W9" i="4"/>
  <c r="AC9" i="4" s="1"/>
  <c r="V9" i="4"/>
  <c r="AN9" i="4" s="1"/>
  <c r="U9" i="4"/>
  <c r="AA9" i="4" s="1"/>
  <c r="T9" i="4"/>
  <c r="AL9" i="4" s="1"/>
  <c r="S9" i="4"/>
  <c r="AK9" i="4" s="1"/>
  <c r="R9" i="4"/>
  <c r="AJ9" i="4" s="1"/>
  <c r="Q9" i="4"/>
  <c r="AI9" i="4" s="1"/>
  <c r="P9" i="4"/>
  <c r="AH9" i="4" s="1"/>
  <c r="O9" i="4"/>
  <c r="AG9" i="4" s="1"/>
  <c r="Z8" i="4"/>
  <c r="AF8" i="4" s="1"/>
  <c r="Y8" i="4"/>
  <c r="AE8" i="4" s="1"/>
  <c r="X8" i="4"/>
  <c r="AD8" i="4" s="1"/>
  <c r="W8" i="4"/>
  <c r="AC8" i="4" s="1"/>
  <c r="V8" i="4"/>
  <c r="AB8" i="4" s="1"/>
  <c r="U8" i="4"/>
  <c r="AA8" i="4" s="1"/>
  <c r="T8" i="4"/>
  <c r="AL8" i="4" s="1"/>
  <c r="S8" i="4"/>
  <c r="AK8" i="4" s="1"/>
  <c r="R8" i="4"/>
  <c r="AJ8" i="4" s="1"/>
  <c r="Q8" i="4"/>
  <c r="AI8" i="4" s="1"/>
  <c r="P8" i="4"/>
  <c r="AH8" i="4" s="1"/>
  <c r="O8" i="4"/>
  <c r="AG8" i="4" s="1"/>
  <c r="Z7" i="4"/>
  <c r="AF7" i="4" s="1"/>
  <c r="Y7" i="4"/>
  <c r="AE7" i="4" s="1"/>
  <c r="X7" i="4"/>
  <c r="AD7" i="4" s="1"/>
  <c r="W7" i="4"/>
  <c r="AC7" i="4" s="1"/>
  <c r="V7" i="4"/>
  <c r="AB7" i="4" s="1"/>
  <c r="U7" i="4"/>
  <c r="AA7" i="4" s="1"/>
  <c r="T7" i="4"/>
  <c r="AL7" i="4" s="1"/>
  <c r="S7" i="4"/>
  <c r="AK7" i="4" s="1"/>
  <c r="R7" i="4"/>
  <c r="AJ7" i="4" s="1"/>
  <c r="Q7" i="4"/>
  <c r="AI7" i="4" s="1"/>
  <c r="P7" i="4"/>
  <c r="AH7" i="4" s="1"/>
  <c r="O7" i="4"/>
  <c r="AG7" i="4" s="1"/>
  <c r="AR6" i="4"/>
  <c r="AQ6" i="4"/>
  <c r="Z6" i="4"/>
  <c r="AF6" i="4" s="1"/>
  <c r="Y6" i="4"/>
  <c r="AE6" i="4" s="1"/>
  <c r="X6" i="4"/>
  <c r="AD6" i="4" s="1"/>
  <c r="W6" i="4"/>
  <c r="AC6" i="4" s="1"/>
  <c r="V6" i="4"/>
  <c r="AB6" i="4" s="1"/>
  <c r="U6" i="4"/>
  <c r="AA6" i="4" s="1"/>
  <c r="T6" i="4"/>
  <c r="AL6" i="4" s="1"/>
  <c r="S6" i="4"/>
  <c r="AK6" i="4" s="1"/>
  <c r="R6" i="4"/>
  <c r="AJ6" i="4" s="1"/>
  <c r="Q6" i="4"/>
  <c r="AI6" i="4" s="1"/>
  <c r="P6" i="4"/>
  <c r="AH6" i="4" s="1"/>
  <c r="O6" i="4"/>
  <c r="AG6" i="4" s="1"/>
  <c r="AF5" i="4"/>
  <c r="AE5" i="4"/>
  <c r="Z5" i="4"/>
  <c r="AR5" i="4" s="1"/>
  <c r="Y5" i="4"/>
  <c r="AQ5" i="4" s="1"/>
  <c r="X5" i="4"/>
  <c r="AP5" i="4" s="1"/>
  <c r="W5" i="4"/>
  <c r="AO5" i="4" s="1"/>
  <c r="V5" i="4"/>
  <c r="AB5" i="4" s="1"/>
  <c r="U5" i="4"/>
  <c r="AA5" i="4" s="1"/>
  <c r="T5" i="4"/>
  <c r="AL5" i="4" s="1"/>
  <c r="S5" i="4"/>
  <c r="AK5" i="4" s="1"/>
  <c r="R5" i="4"/>
  <c r="AJ5" i="4" s="1"/>
  <c r="Q5" i="4"/>
  <c r="AI5" i="4" s="1"/>
  <c r="P5" i="4"/>
  <c r="AH5" i="4" s="1"/>
  <c r="O5" i="4"/>
  <c r="AG5" i="4" s="1"/>
  <c r="P13" i="3"/>
  <c r="AM6" i="3"/>
  <c r="AN6" i="3"/>
  <c r="AO6" i="3"/>
  <c r="AP6" i="3"/>
  <c r="AQ6" i="3"/>
  <c r="AR6" i="3"/>
  <c r="AM7" i="3"/>
  <c r="AN7" i="3"/>
  <c r="AO7" i="3"/>
  <c r="AP7" i="3"/>
  <c r="AQ7" i="3"/>
  <c r="AR7" i="3"/>
  <c r="AM8" i="3"/>
  <c r="AN8" i="3"/>
  <c r="AO8" i="3"/>
  <c r="AP8" i="3"/>
  <c r="AQ8" i="3"/>
  <c r="AR8" i="3"/>
  <c r="AM9" i="3"/>
  <c r="AN9" i="3"/>
  <c r="AO9" i="3"/>
  <c r="AP9" i="3"/>
  <c r="AQ9" i="3"/>
  <c r="AR9" i="3"/>
  <c r="AM10" i="3"/>
  <c r="AN10" i="3"/>
  <c r="AO10" i="3"/>
  <c r="AP10" i="3"/>
  <c r="AQ10" i="3"/>
  <c r="AR10" i="3"/>
  <c r="AM11" i="3"/>
  <c r="AN11" i="3"/>
  <c r="AO11" i="3"/>
  <c r="AP11" i="3"/>
  <c r="AQ11" i="3"/>
  <c r="AR11" i="3"/>
  <c r="AM12" i="3"/>
  <c r="AN12" i="3"/>
  <c r="AO12" i="3"/>
  <c r="AP12" i="3"/>
  <c r="AQ12" i="3"/>
  <c r="AR12" i="3"/>
  <c r="AM13" i="3"/>
  <c r="AN13" i="3"/>
  <c r="AO13" i="3"/>
  <c r="AP13" i="3"/>
  <c r="AQ13" i="3"/>
  <c r="AR13" i="3"/>
  <c r="AM14" i="3"/>
  <c r="AN14" i="3"/>
  <c r="AO14" i="3"/>
  <c r="AP14" i="3"/>
  <c r="AQ14" i="3"/>
  <c r="AR14" i="3"/>
  <c r="AM15" i="3"/>
  <c r="AN15" i="3"/>
  <c r="AO15" i="3"/>
  <c r="AP15" i="3"/>
  <c r="AQ15" i="3"/>
  <c r="AR15" i="3"/>
  <c r="AM16" i="3"/>
  <c r="AN16" i="3"/>
  <c r="AO16" i="3"/>
  <c r="AP16" i="3"/>
  <c r="AQ16" i="3"/>
  <c r="AR16" i="3"/>
  <c r="AM17" i="3"/>
  <c r="AN17" i="3"/>
  <c r="AO17" i="3"/>
  <c r="AP17" i="3"/>
  <c r="AQ17" i="3"/>
  <c r="AR17" i="3"/>
  <c r="AM18" i="3"/>
  <c r="AN18" i="3"/>
  <c r="AO18" i="3"/>
  <c r="AP18" i="3"/>
  <c r="AQ18" i="3"/>
  <c r="AR18" i="3"/>
  <c r="AM19" i="3"/>
  <c r="AN19" i="3"/>
  <c r="AO19" i="3"/>
  <c r="AP19" i="3"/>
  <c r="AQ19" i="3"/>
  <c r="AR19" i="3"/>
  <c r="AM20" i="3"/>
  <c r="AN20" i="3"/>
  <c r="AO20" i="3"/>
  <c r="AP20" i="3"/>
  <c r="AQ20" i="3"/>
  <c r="AR20" i="3"/>
  <c r="AM21" i="3"/>
  <c r="AN21" i="3"/>
  <c r="AO21" i="3"/>
  <c r="AP21" i="3"/>
  <c r="AQ21" i="3"/>
  <c r="AR21" i="3"/>
  <c r="AA6" i="3"/>
  <c r="AB6" i="3"/>
  <c r="AC6" i="3"/>
  <c r="AD6" i="3"/>
  <c r="AE6" i="3"/>
  <c r="AF6" i="3"/>
  <c r="AA7" i="3"/>
  <c r="AB7" i="3"/>
  <c r="AC7" i="3"/>
  <c r="AD7" i="3"/>
  <c r="AE7" i="3"/>
  <c r="AF7" i="3"/>
  <c r="AA8" i="3"/>
  <c r="AB8" i="3"/>
  <c r="AC8" i="3"/>
  <c r="AD8" i="3"/>
  <c r="AE8" i="3"/>
  <c r="AF8" i="3"/>
  <c r="AA9" i="3"/>
  <c r="AB9" i="3"/>
  <c r="AC9" i="3"/>
  <c r="AD9" i="3"/>
  <c r="AE9" i="3"/>
  <c r="AF9" i="3"/>
  <c r="AA10" i="3"/>
  <c r="AB10" i="3"/>
  <c r="AC10" i="3"/>
  <c r="AD10" i="3"/>
  <c r="AE10" i="3"/>
  <c r="AF10" i="3"/>
  <c r="AA11" i="3"/>
  <c r="AB11" i="3"/>
  <c r="AC11" i="3"/>
  <c r="AD11" i="3"/>
  <c r="AE11" i="3"/>
  <c r="AF11" i="3"/>
  <c r="AA12" i="3"/>
  <c r="AB12" i="3"/>
  <c r="AC12" i="3"/>
  <c r="AD12" i="3"/>
  <c r="AE12" i="3"/>
  <c r="AF12" i="3"/>
  <c r="AA13" i="3"/>
  <c r="AB13" i="3"/>
  <c r="AC13" i="3"/>
  <c r="AD13" i="3"/>
  <c r="AE13" i="3"/>
  <c r="AF13" i="3"/>
  <c r="AA14" i="3"/>
  <c r="AB14" i="3"/>
  <c r="AC14" i="3"/>
  <c r="AD14" i="3"/>
  <c r="AE14" i="3"/>
  <c r="AF14" i="3"/>
  <c r="AA15" i="3"/>
  <c r="AB15" i="3"/>
  <c r="AC15" i="3"/>
  <c r="AD15" i="3"/>
  <c r="AE15" i="3"/>
  <c r="AF15" i="3"/>
  <c r="AA16" i="3"/>
  <c r="AB16" i="3"/>
  <c r="AC16" i="3"/>
  <c r="AD16" i="3"/>
  <c r="AE16" i="3"/>
  <c r="AF16" i="3"/>
  <c r="AA17" i="3"/>
  <c r="AB17" i="3"/>
  <c r="AC17" i="3"/>
  <c r="AD17" i="3"/>
  <c r="AE17" i="3"/>
  <c r="AF17" i="3"/>
  <c r="AA18" i="3"/>
  <c r="AB18" i="3"/>
  <c r="AC18" i="3"/>
  <c r="AD18" i="3"/>
  <c r="AE18" i="3"/>
  <c r="AF18" i="3"/>
  <c r="AA19" i="3"/>
  <c r="AB19" i="3"/>
  <c r="AC19" i="3"/>
  <c r="AD19" i="3"/>
  <c r="AE19" i="3"/>
  <c r="AF19" i="3"/>
  <c r="AA20" i="3"/>
  <c r="AB20" i="3"/>
  <c r="AC20" i="3"/>
  <c r="AD20" i="3"/>
  <c r="AE20" i="3"/>
  <c r="AF20" i="3"/>
  <c r="AA21" i="3"/>
  <c r="AB21" i="3"/>
  <c r="AC21" i="3"/>
  <c r="AD21" i="3"/>
  <c r="AE21" i="3"/>
  <c r="AF21" i="3"/>
  <c r="AH6" i="3"/>
  <c r="AI6" i="3"/>
  <c r="AJ6" i="3"/>
  <c r="AK6" i="3"/>
  <c r="AL6" i="3"/>
  <c r="AH7" i="3"/>
  <c r="AI7" i="3"/>
  <c r="AJ7" i="3"/>
  <c r="AK7" i="3"/>
  <c r="AL7" i="3"/>
  <c r="AH8" i="3"/>
  <c r="AI8" i="3"/>
  <c r="AJ8" i="3"/>
  <c r="AK8" i="3"/>
  <c r="AL8" i="3"/>
  <c r="AH9" i="3"/>
  <c r="AI9" i="3"/>
  <c r="AJ9" i="3"/>
  <c r="AK9" i="3"/>
  <c r="AL9" i="3"/>
  <c r="AH10" i="3"/>
  <c r="AI10" i="3"/>
  <c r="AJ10" i="3"/>
  <c r="AK10" i="3"/>
  <c r="AL10" i="3"/>
  <c r="AH11" i="3"/>
  <c r="AI11" i="3"/>
  <c r="AJ11" i="3"/>
  <c r="AK11" i="3"/>
  <c r="AL11" i="3"/>
  <c r="AH12" i="3"/>
  <c r="AI12" i="3"/>
  <c r="AJ12" i="3"/>
  <c r="AK12" i="3"/>
  <c r="AL12" i="3"/>
  <c r="AH13" i="3"/>
  <c r="AI13" i="3"/>
  <c r="AJ13" i="3"/>
  <c r="AK13" i="3"/>
  <c r="AL13" i="3"/>
  <c r="AH14" i="3"/>
  <c r="AI14" i="3"/>
  <c r="AJ14" i="3"/>
  <c r="AK14" i="3"/>
  <c r="AL14" i="3"/>
  <c r="AH15" i="3"/>
  <c r="AI15" i="3"/>
  <c r="AJ15" i="3"/>
  <c r="AK15" i="3"/>
  <c r="AL15" i="3"/>
  <c r="AH16" i="3"/>
  <c r="AI16" i="3"/>
  <c r="AJ16" i="3"/>
  <c r="AK16" i="3"/>
  <c r="AL16" i="3"/>
  <c r="AH17" i="3"/>
  <c r="AI17" i="3"/>
  <c r="AJ17" i="3"/>
  <c r="AK17" i="3"/>
  <c r="AL17" i="3"/>
  <c r="AH18" i="3"/>
  <c r="AI18" i="3"/>
  <c r="AJ18" i="3"/>
  <c r="AK18" i="3"/>
  <c r="AL18" i="3"/>
  <c r="AH19" i="3"/>
  <c r="AI19" i="3"/>
  <c r="AJ19" i="3"/>
  <c r="AK19" i="3"/>
  <c r="AL19" i="3"/>
  <c r="AH20" i="3"/>
  <c r="AI20" i="3"/>
  <c r="AJ20" i="3"/>
  <c r="AK20" i="3"/>
  <c r="AL20" i="3"/>
  <c r="AH21" i="3"/>
  <c r="AI21" i="3"/>
  <c r="AJ21" i="3"/>
  <c r="AK21" i="3"/>
  <c r="AL21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X19" i="3"/>
  <c r="X20" i="3" s="1"/>
  <c r="X21" i="3" s="1"/>
  <c r="U19" i="3"/>
  <c r="U20" i="3" s="1"/>
  <c r="U21" i="3" s="1"/>
  <c r="R19" i="3"/>
  <c r="R20" i="3" s="1"/>
  <c r="R21" i="3" s="1"/>
  <c r="O20" i="3"/>
  <c r="O21" i="3"/>
  <c r="O19" i="3"/>
  <c r="O5" i="3"/>
  <c r="AG5" i="3" s="1"/>
  <c r="P5" i="3"/>
  <c r="AH5" i="3" s="1"/>
  <c r="Q5" i="3"/>
  <c r="AI5" i="3" s="1"/>
  <c r="R5" i="3"/>
  <c r="AJ5" i="3" s="1"/>
  <c r="S5" i="3"/>
  <c r="AK5" i="3" s="1"/>
  <c r="T5" i="3"/>
  <c r="AL5" i="3" s="1"/>
  <c r="U5" i="3"/>
  <c r="AM5" i="3" s="1"/>
  <c r="V5" i="3"/>
  <c r="AN5" i="3" s="1"/>
  <c r="W5" i="3"/>
  <c r="AO5" i="3" s="1"/>
  <c r="X5" i="3"/>
  <c r="AP5" i="3" s="1"/>
  <c r="Y5" i="3"/>
  <c r="AQ5" i="3" s="1"/>
  <c r="Z5" i="3"/>
  <c r="AR5" i="3" s="1"/>
  <c r="O6" i="3"/>
  <c r="P6" i="3"/>
  <c r="Q6" i="3"/>
  <c r="R6" i="3"/>
  <c r="S6" i="3"/>
  <c r="T6" i="3"/>
  <c r="U6" i="3"/>
  <c r="V6" i="3"/>
  <c r="W6" i="3"/>
  <c r="X6" i="3"/>
  <c r="Y6" i="3"/>
  <c r="Z6" i="3"/>
  <c r="O7" i="3"/>
  <c r="P7" i="3"/>
  <c r="Q7" i="3"/>
  <c r="R7" i="3"/>
  <c r="S7" i="3"/>
  <c r="T7" i="3"/>
  <c r="U7" i="3"/>
  <c r="V7" i="3"/>
  <c r="W7" i="3"/>
  <c r="X7" i="3"/>
  <c r="Y7" i="3"/>
  <c r="Z7" i="3"/>
  <c r="O9" i="3"/>
  <c r="O12" i="3"/>
  <c r="O13" i="3"/>
  <c r="O14" i="3"/>
  <c r="O15" i="3"/>
  <c r="O16" i="3"/>
  <c r="O17" i="3"/>
  <c r="O18" i="3"/>
  <c r="O8" i="3"/>
  <c r="P8" i="3"/>
  <c r="Q8" i="3"/>
  <c r="R8" i="3"/>
  <c r="S8" i="3"/>
  <c r="T8" i="3"/>
  <c r="U8" i="3"/>
  <c r="V8" i="3"/>
  <c r="W8" i="3"/>
  <c r="X8" i="3"/>
  <c r="Y8" i="3"/>
  <c r="Z8" i="3"/>
  <c r="P9" i="3"/>
  <c r="Q9" i="3"/>
  <c r="R9" i="3"/>
  <c r="S9" i="3"/>
  <c r="T9" i="3"/>
  <c r="U9" i="3"/>
  <c r="V9" i="3"/>
  <c r="W9" i="3"/>
  <c r="X9" i="3"/>
  <c r="Y9" i="3"/>
  <c r="Z9" i="3"/>
  <c r="P10" i="3"/>
  <c r="Q10" i="3"/>
  <c r="R10" i="3"/>
  <c r="S10" i="3"/>
  <c r="T10" i="3"/>
  <c r="U10" i="3"/>
  <c r="V10" i="3"/>
  <c r="W10" i="3"/>
  <c r="X10" i="3"/>
  <c r="Y10" i="3"/>
  <c r="Z10" i="3"/>
  <c r="P11" i="3"/>
  <c r="Q11" i="3"/>
  <c r="R11" i="3"/>
  <c r="S11" i="3"/>
  <c r="T11" i="3"/>
  <c r="U11" i="3"/>
  <c r="V11" i="3"/>
  <c r="W11" i="3"/>
  <c r="X11" i="3"/>
  <c r="Y11" i="3"/>
  <c r="Z11" i="3"/>
  <c r="P12" i="3"/>
  <c r="Q12" i="3"/>
  <c r="R12" i="3"/>
  <c r="S12" i="3"/>
  <c r="T12" i="3"/>
  <c r="U12" i="3"/>
  <c r="V12" i="3"/>
  <c r="W12" i="3"/>
  <c r="X12" i="3"/>
  <c r="Y12" i="3"/>
  <c r="Z12" i="3"/>
  <c r="Q13" i="3"/>
  <c r="R13" i="3"/>
  <c r="S13" i="3"/>
  <c r="T13" i="3"/>
  <c r="U13" i="3"/>
  <c r="V13" i="3"/>
  <c r="W13" i="3"/>
  <c r="X13" i="3"/>
  <c r="Y13" i="3"/>
  <c r="Z13" i="3"/>
  <c r="P14" i="3"/>
  <c r="Q14" i="3"/>
  <c r="R14" i="3"/>
  <c r="S14" i="3"/>
  <c r="T14" i="3"/>
  <c r="U14" i="3"/>
  <c r="V14" i="3"/>
  <c r="W14" i="3"/>
  <c r="X14" i="3"/>
  <c r="Y14" i="3"/>
  <c r="Z14" i="3"/>
  <c r="P15" i="3"/>
  <c r="Q15" i="3"/>
  <c r="R15" i="3"/>
  <c r="S15" i="3"/>
  <c r="T15" i="3"/>
  <c r="U15" i="3"/>
  <c r="V15" i="3"/>
  <c r="W15" i="3"/>
  <c r="X15" i="3"/>
  <c r="Y15" i="3"/>
  <c r="Z15" i="3"/>
  <c r="P16" i="3"/>
  <c r="Q16" i="3"/>
  <c r="R16" i="3"/>
  <c r="S16" i="3"/>
  <c r="T16" i="3"/>
  <c r="U16" i="3"/>
  <c r="V16" i="3"/>
  <c r="W16" i="3"/>
  <c r="X16" i="3"/>
  <c r="Y16" i="3"/>
  <c r="Z16" i="3"/>
  <c r="P17" i="3"/>
  <c r="Q17" i="3"/>
  <c r="R17" i="3"/>
  <c r="S17" i="3"/>
  <c r="T17" i="3"/>
  <c r="U17" i="3"/>
  <c r="V17" i="3"/>
  <c r="W17" i="3"/>
  <c r="X17" i="3"/>
  <c r="Y17" i="3"/>
  <c r="Z17" i="3"/>
  <c r="P18" i="3"/>
  <c r="Q18" i="3"/>
  <c r="R18" i="3"/>
  <c r="S18" i="3"/>
  <c r="T18" i="3"/>
  <c r="U18" i="3"/>
  <c r="V18" i="3"/>
  <c r="W18" i="3"/>
  <c r="X18" i="3"/>
  <c r="Y18" i="3"/>
  <c r="Z18" i="3"/>
  <c r="P19" i="3"/>
  <c r="Q19" i="3"/>
  <c r="S19" i="3"/>
  <c r="T19" i="3"/>
  <c r="V19" i="3"/>
  <c r="W19" i="3"/>
  <c r="Y19" i="3"/>
  <c r="Z19" i="3"/>
  <c r="P20" i="3"/>
  <c r="Q20" i="3"/>
  <c r="S20" i="3"/>
  <c r="T20" i="3"/>
  <c r="V20" i="3"/>
  <c r="W20" i="3"/>
  <c r="Y20" i="3"/>
  <c r="Z20" i="3"/>
  <c r="P21" i="3"/>
  <c r="Q21" i="3"/>
  <c r="S21" i="3"/>
  <c r="T21" i="3"/>
  <c r="V21" i="3"/>
  <c r="W21" i="3"/>
  <c r="Y21" i="3"/>
  <c r="Z21" i="3"/>
  <c r="X19" i="4" l="1"/>
  <c r="AB19" i="4"/>
  <c r="AC19" i="4"/>
  <c r="AA18" i="4"/>
  <c r="AB18" i="4"/>
  <c r="AM18" i="4"/>
  <c r="AA11" i="4"/>
  <c r="AB10" i="4"/>
  <c r="AB11" i="4"/>
  <c r="AM10" i="4"/>
  <c r="AC11" i="4"/>
  <c r="AA12" i="4"/>
  <c r="AG19" i="4"/>
  <c r="AD11" i="4"/>
  <c r="AB12" i="4"/>
  <c r="AC12" i="4"/>
  <c r="AD12" i="4"/>
  <c r="R19" i="4"/>
  <c r="AJ19" i="4" s="1"/>
  <c r="AC21" i="4"/>
  <c r="AC5" i="4"/>
  <c r="AC13" i="4"/>
  <c r="AE14" i="4"/>
  <c r="AE21" i="4"/>
  <c r="AD5" i="4"/>
  <c r="AD13" i="4"/>
  <c r="AF14" i="4"/>
  <c r="AB20" i="4"/>
  <c r="AF21" i="4"/>
  <c r="AM19" i="4"/>
  <c r="U20" i="4"/>
  <c r="AA19" i="4"/>
  <c r="X20" i="4"/>
  <c r="AP19" i="4"/>
  <c r="AD19" i="4"/>
  <c r="AO10" i="4"/>
  <c r="AM17" i="4"/>
  <c r="AR11" i="4"/>
  <c r="AR19" i="4"/>
  <c r="AM8" i="4"/>
  <c r="AO9" i="4"/>
  <c r="AQ10" i="4"/>
  <c r="AM16" i="4"/>
  <c r="AO17" i="4"/>
  <c r="AQ18" i="4"/>
  <c r="AO18" i="4"/>
  <c r="AP10" i="4"/>
  <c r="AN8" i="4"/>
  <c r="AP9" i="4"/>
  <c r="AR10" i="4"/>
  <c r="AN16" i="4"/>
  <c r="AP17" i="4"/>
  <c r="AR18" i="4"/>
  <c r="AM9" i="4"/>
  <c r="AM7" i="4"/>
  <c r="AO8" i="4"/>
  <c r="AQ9" i="4"/>
  <c r="AE11" i="4"/>
  <c r="AM15" i="4"/>
  <c r="AO16" i="4"/>
  <c r="AQ17" i="4"/>
  <c r="AE19" i="4"/>
  <c r="AN7" i="4"/>
  <c r="AP8" i="4"/>
  <c r="AB9" i="4"/>
  <c r="AR9" i="4"/>
  <c r="AN15" i="4"/>
  <c r="AP16" i="4"/>
  <c r="AB17" i="4"/>
  <c r="AR17" i="4"/>
  <c r="AD18" i="4"/>
  <c r="R20" i="4"/>
  <c r="AM6" i="4"/>
  <c r="AO7" i="4"/>
  <c r="AQ8" i="4"/>
  <c r="AM14" i="4"/>
  <c r="AO15" i="4"/>
  <c r="AQ16" i="4"/>
  <c r="AN6" i="4"/>
  <c r="AP7" i="4"/>
  <c r="AR8" i="4"/>
  <c r="AN14" i="4"/>
  <c r="AP15" i="4"/>
  <c r="AR16" i="4"/>
  <c r="AP18" i="4"/>
  <c r="AM5" i="4"/>
  <c r="AO6" i="4"/>
  <c r="AQ7" i="4"/>
  <c r="AM13" i="4"/>
  <c r="AO14" i="4"/>
  <c r="AQ15" i="4"/>
  <c r="AN5" i="4"/>
  <c r="AP6" i="4"/>
  <c r="AR7" i="4"/>
  <c r="AN13" i="4"/>
  <c r="AP14" i="4"/>
  <c r="AR15" i="4"/>
  <c r="AN21" i="4"/>
  <c r="AF5" i="3"/>
  <c r="AE5" i="3"/>
  <c r="AD5" i="3"/>
  <c r="AA5" i="3"/>
  <c r="AB5" i="3"/>
  <c r="AC5" i="3"/>
  <c r="O20" i="4" l="1"/>
  <c r="AJ20" i="4"/>
  <c r="R21" i="4"/>
  <c r="AJ21" i="4" s="1"/>
  <c r="AM20" i="4"/>
  <c r="U21" i="4"/>
  <c r="AA20" i="4"/>
  <c r="AP20" i="4"/>
  <c r="X21" i="4"/>
  <c r="AD20" i="4"/>
  <c r="AG20" i="4"/>
  <c r="O21" i="4"/>
  <c r="AG21" i="4" s="1"/>
  <c r="AP21" i="4" l="1"/>
  <c r="AD21" i="4"/>
  <c r="AA21" i="4"/>
  <c r="AM21" i="4"/>
</calcChain>
</file>

<file path=xl/sharedStrings.xml><?xml version="1.0" encoding="utf-8"?>
<sst xmlns="http://schemas.openxmlformats.org/spreadsheetml/2006/main" count="1770" uniqueCount="52">
  <si>
    <t>Llegan</t>
  </si>
  <si>
    <t>Salen</t>
  </si>
  <si>
    <t>Ocupación (Vehiculos)</t>
  </si>
  <si>
    <t>Hora</t>
  </si>
  <si>
    <t>Zona</t>
  </si>
  <si>
    <t>Parque del Perro</t>
  </si>
  <si>
    <t>Día</t>
  </si>
  <si>
    <t>Domingo</t>
  </si>
  <si>
    <t>Tipo</t>
  </si>
  <si>
    <t>Autos</t>
  </si>
  <si>
    <t>Motos</t>
  </si>
  <si>
    <t>Sábado</t>
  </si>
  <si>
    <t>Típico</t>
  </si>
  <si>
    <t>San Antonio</t>
  </si>
  <si>
    <t>Column Labels</t>
  </si>
  <si>
    <t>(blank)</t>
  </si>
  <si>
    <t>Grand Total</t>
  </si>
  <si>
    <t>Row Labels</t>
  </si>
  <si>
    <t>&lt;0/01/1900</t>
  </si>
  <si>
    <t>12 a. m.</t>
  </si>
  <si>
    <t>1 a. m.</t>
  </si>
  <si>
    <t>2 a. m.</t>
  </si>
  <si>
    <t>3 a. m.</t>
  </si>
  <si>
    <t>4 a. m.</t>
  </si>
  <si>
    <t>7 a. m.</t>
  </si>
  <si>
    <t>8 a. m.</t>
  </si>
  <si>
    <t>9 a. m.</t>
  </si>
  <si>
    <t>10 a. m.</t>
  </si>
  <si>
    <t>11 a. m.</t>
  </si>
  <si>
    <t>12 p. m.</t>
  </si>
  <si>
    <t>1 p. m.</t>
  </si>
  <si>
    <t>2 p. m.</t>
  </si>
  <si>
    <t>3 p. m.</t>
  </si>
  <si>
    <t>4 p. m.</t>
  </si>
  <si>
    <t>5 p. m.</t>
  </si>
  <si>
    <t>6 p. m.</t>
  </si>
  <si>
    <t>7 p. m.</t>
  </si>
  <si>
    <t>8 p. m.</t>
  </si>
  <si>
    <t>9 p. m.</t>
  </si>
  <si>
    <t>10 p. m.</t>
  </si>
  <si>
    <t>11 p. m.</t>
  </si>
  <si>
    <t>LLEGADAS</t>
  </si>
  <si>
    <t>Centenario</t>
  </si>
  <si>
    <t>Granada</t>
  </si>
  <si>
    <t>El Peñón</t>
  </si>
  <si>
    <t>Dom</t>
  </si>
  <si>
    <t>Sáb</t>
  </si>
  <si>
    <t>Típ</t>
  </si>
  <si>
    <t>Sum of Salen</t>
  </si>
  <si>
    <t>SALIDAS</t>
  </si>
  <si>
    <t>Ejemplo: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</si>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</sst>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20" fontId="3" fillId="0" borderId="1" xfId="0" applyNumberFormat="1" applyFont="1" applyFill="1" applyBorder="1" applyAlignment="1">
      <alignment horizontal="center" vertical="center"/>
    </xf>
    <xf numFmtId="20" fontId="3" fillId="2" borderId="1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21EA88DE-86BD-42E4-84EB-979C7E41B2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Eduardo González Mena" refreshedDate="46025.644593634257" createdVersion="8" refreshedVersion="8" minRefreshableVersion="3" recordCount="517" xr:uid="{84A93F9E-D2A3-482A-9DB8-A1E0EEE197DD}">
  <cacheSource type="worksheet">
    <worksheetSource ref="A1:G1048576" sheet="BD"/>
  </cacheSource>
  <cacheFields count="9">
    <cacheField name="Hora" numFmtId="0">
      <sharedItems containsNonDate="0" containsDate="1" containsString="0" containsBlank="1" minDate="1899-12-30T07:00:00" maxDate="1900-01-01T00:00:00" count="44">
        <d v="1899-12-30T07:00:00"/>
        <d v="1899-12-30T07:30:00"/>
        <d v="1899-12-30T08:00:00"/>
        <d v="1899-12-30T08:30:00"/>
        <d v="1899-12-30T09:00:00"/>
        <d v="1899-12-30T09:30:00"/>
        <d v="1899-12-30T10:00:00"/>
        <d v="1899-12-30T10:30:00"/>
        <d v="1899-12-30T11:00:00"/>
        <d v="1899-12-30T11:30:00"/>
        <d v="1899-12-30T12:00:00"/>
        <d v="1899-12-30T12:30:00"/>
        <d v="1899-12-30T13:00:00"/>
        <d v="1899-12-30T13:30:00"/>
        <d v="1899-12-30T14:00:00"/>
        <d v="1899-12-30T14:30:00"/>
        <d v="1899-12-30T15:00:00"/>
        <d v="1899-12-30T15:30:00"/>
        <d v="1899-12-30T16:00:00"/>
        <d v="1899-12-30T16:30:00"/>
        <d v="1899-12-30T17:00:00"/>
        <d v="1899-12-30T17:30:00"/>
        <d v="1899-12-30T18:00:00"/>
        <d v="1899-12-30T18:30:00"/>
        <d v="1899-12-30T19:00:00"/>
        <d v="1899-12-30T19:30:00"/>
        <d v="1899-12-30T20:00:00"/>
        <d v="1899-12-30T20:30:00"/>
        <d v="1899-12-30T21:00:00"/>
        <d v="1899-12-30T21:30:00"/>
        <d v="1899-12-30T22:00:00"/>
        <d v="1899-12-30T22:30:00"/>
        <d v="1899-12-30T23:00:00"/>
        <d v="1899-12-30T23:30:00"/>
        <d v="1899-12-31T00:00:00"/>
        <d v="1899-12-31T00:30:00"/>
        <d v="1899-12-31T01:00:00"/>
        <d v="1899-12-31T01:30:00"/>
        <d v="1899-12-31T02:00:00"/>
        <d v="1899-12-31T02:30:00"/>
        <d v="1899-12-31T03:00:00"/>
        <d v="1899-12-31T03:30:00"/>
        <d v="1899-12-31T04:00:00"/>
        <m/>
      </sharedItems>
      <fieldGroup par="8"/>
    </cacheField>
    <cacheField name="Llegan" numFmtId="0">
      <sharedItems containsString="0" containsBlank="1" containsNumber="1" containsInteger="1" minValue="0" maxValue="230"/>
    </cacheField>
    <cacheField name="Salen" numFmtId="0">
      <sharedItems containsString="0" containsBlank="1" containsNumber="1" containsInteger="1" minValue="0" maxValue="374"/>
    </cacheField>
    <cacheField name="Ocupación (Vehiculos)" numFmtId="0">
      <sharedItems containsString="0" containsBlank="1" containsNumber="1" containsInteger="1" minValue="-4" maxValue="828"/>
    </cacheField>
    <cacheField name="Zona" numFmtId="0">
      <sharedItems containsBlank="1" count="3">
        <s v="Parque del Perro"/>
        <s v="San Antonio"/>
        <m/>
      </sharedItems>
    </cacheField>
    <cacheField name="Día" numFmtId="0">
      <sharedItems containsBlank="1" count="4">
        <s v="Domingo"/>
        <s v="Sábado"/>
        <s v="Típico"/>
        <m/>
      </sharedItems>
    </cacheField>
    <cacheField name="Tipo" numFmtId="0">
      <sharedItems containsBlank="1" count="3">
        <s v="Autos"/>
        <s v="Motos"/>
        <m/>
      </sharedItems>
    </cacheField>
    <cacheField name="Hours (Hora)" numFmtId="0" databaseField="0">
      <fieldGroup base="0">
        <rangePr groupBy="hours" startDate="1899-12-30T07:00:00" endDate="1900-01-01T00:00:00"/>
        <groupItems count="26">
          <s v="&lt;0/01/1900"/>
          <s v="12 a. m."/>
          <s v="1 a. m."/>
          <s v="2 a. m."/>
          <s v="3 a. m."/>
          <s v="4 a. m."/>
          <s v="5 a. m."/>
          <s v="6 a. m."/>
          <s v="7 a. m."/>
          <s v="8 a. m."/>
          <s v="9 a. m."/>
          <s v="10 a. m."/>
          <s v="11 a. m."/>
          <s v="12 p. m."/>
          <s v="1 p. m."/>
          <s v="2 p. m."/>
          <s v="3 p. m."/>
          <s v="4 p. m."/>
          <s v="5 p. m."/>
          <s v="6 p. m."/>
          <s v="7 p. m."/>
          <s v="8 p. m."/>
          <s v="9 p. m."/>
          <s v="10 p. m."/>
          <s v="11 p. m."/>
          <s v="&gt;2/01/1900"/>
        </groupItems>
      </fieldGroup>
    </cacheField>
    <cacheField name="Days (Hora)" numFmtId="0" databaseField="0">
      <fieldGroup base="0">
        <rangePr groupBy="days" startDate="1899-12-30T07:00:00" endDate="1900-01-01T00:00:00"/>
        <groupItems count="368">
          <s v="&lt;0/01/1900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/01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7">
  <r>
    <x v="0"/>
    <n v="0"/>
    <n v="0"/>
    <n v="0"/>
    <x v="0"/>
    <x v="0"/>
    <x v="0"/>
  </r>
  <r>
    <x v="1"/>
    <n v="0"/>
    <n v="0"/>
    <n v="0"/>
    <x v="0"/>
    <x v="0"/>
    <x v="0"/>
  </r>
  <r>
    <x v="2"/>
    <n v="27"/>
    <n v="0"/>
    <n v="27"/>
    <x v="0"/>
    <x v="0"/>
    <x v="0"/>
  </r>
  <r>
    <x v="3"/>
    <n v="13"/>
    <n v="0"/>
    <n v="40"/>
    <x v="0"/>
    <x v="0"/>
    <x v="0"/>
  </r>
  <r>
    <x v="4"/>
    <n v="24"/>
    <n v="7"/>
    <n v="57"/>
    <x v="0"/>
    <x v="0"/>
    <x v="0"/>
  </r>
  <r>
    <x v="5"/>
    <n v="39"/>
    <n v="10"/>
    <n v="86"/>
    <x v="0"/>
    <x v="0"/>
    <x v="0"/>
  </r>
  <r>
    <x v="6"/>
    <n v="38"/>
    <n v="24"/>
    <n v="100"/>
    <x v="0"/>
    <x v="0"/>
    <x v="0"/>
  </r>
  <r>
    <x v="7"/>
    <n v="42"/>
    <n v="22"/>
    <n v="120"/>
    <x v="0"/>
    <x v="0"/>
    <x v="0"/>
  </r>
  <r>
    <x v="8"/>
    <n v="34"/>
    <n v="28"/>
    <n v="126"/>
    <x v="0"/>
    <x v="0"/>
    <x v="0"/>
  </r>
  <r>
    <x v="9"/>
    <n v="35"/>
    <n v="25"/>
    <n v="136"/>
    <x v="0"/>
    <x v="0"/>
    <x v="0"/>
  </r>
  <r>
    <x v="10"/>
    <n v="28"/>
    <n v="27"/>
    <n v="137"/>
    <x v="0"/>
    <x v="0"/>
    <x v="0"/>
  </r>
  <r>
    <x v="11"/>
    <n v="40"/>
    <n v="58"/>
    <n v="119"/>
    <x v="0"/>
    <x v="0"/>
    <x v="0"/>
  </r>
  <r>
    <x v="12"/>
    <n v="53"/>
    <n v="50"/>
    <n v="122"/>
    <x v="0"/>
    <x v="0"/>
    <x v="0"/>
  </r>
  <r>
    <x v="13"/>
    <n v="56"/>
    <n v="38"/>
    <n v="140"/>
    <x v="0"/>
    <x v="0"/>
    <x v="0"/>
  </r>
  <r>
    <x v="14"/>
    <n v="92"/>
    <n v="28"/>
    <n v="204"/>
    <x v="0"/>
    <x v="0"/>
    <x v="0"/>
  </r>
  <r>
    <x v="15"/>
    <n v="48"/>
    <n v="62"/>
    <n v="190"/>
    <x v="0"/>
    <x v="0"/>
    <x v="0"/>
  </r>
  <r>
    <x v="16"/>
    <n v="52"/>
    <n v="64"/>
    <n v="178"/>
    <x v="0"/>
    <x v="0"/>
    <x v="0"/>
  </r>
  <r>
    <x v="17"/>
    <n v="72"/>
    <n v="38"/>
    <n v="212"/>
    <x v="0"/>
    <x v="0"/>
    <x v="0"/>
  </r>
  <r>
    <x v="18"/>
    <n v="52"/>
    <n v="70"/>
    <n v="194"/>
    <x v="0"/>
    <x v="0"/>
    <x v="0"/>
  </r>
  <r>
    <x v="19"/>
    <n v="66"/>
    <n v="36"/>
    <n v="224"/>
    <x v="0"/>
    <x v="0"/>
    <x v="0"/>
  </r>
  <r>
    <x v="20"/>
    <n v="69"/>
    <n v="43"/>
    <n v="250"/>
    <x v="0"/>
    <x v="0"/>
    <x v="0"/>
  </r>
  <r>
    <x v="21"/>
    <n v="76"/>
    <n v="42"/>
    <n v="284"/>
    <x v="0"/>
    <x v="0"/>
    <x v="0"/>
  </r>
  <r>
    <x v="22"/>
    <n v="140"/>
    <n v="74"/>
    <n v="350"/>
    <x v="0"/>
    <x v="0"/>
    <x v="0"/>
  </r>
  <r>
    <x v="23"/>
    <n v="102"/>
    <n v="72"/>
    <n v="380"/>
    <x v="0"/>
    <x v="0"/>
    <x v="0"/>
  </r>
  <r>
    <x v="24"/>
    <n v="85"/>
    <n v="90"/>
    <n v="375"/>
    <x v="0"/>
    <x v="0"/>
    <x v="0"/>
  </r>
  <r>
    <x v="25"/>
    <n v="78"/>
    <n v="94"/>
    <n v="359"/>
    <x v="0"/>
    <x v="0"/>
    <x v="0"/>
  </r>
  <r>
    <x v="26"/>
    <n v="92"/>
    <n v="98"/>
    <n v="353"/>
    <x v="0"/>
    <x v="0"/>
    <x v="0"/>
  </r>
  <r>
    <x v="27"/>
    <n v="36"/>
    <n v="248"/>
    <n v="141"/>
    <x v="0"/>
    <x v="0"/>
    <x v="0"/>
  </r>
  <r>
    <x v="28"/>
    <n v="0"/>
    <n v="137"/>
    <n v="4"/>
    <x v="0"/>
    <x v="0"/>
    <x v="0"/>
  </r>
  <r>
    <x v="29"/>
    <n v="0"/>
    <n v="2"/>
    <n v="2"/>
    <x v="0"/>
    <x v="0"/>
    <x v="0"/>
  </r>
  <r>
    <x v="30"/>
    <n v="0"/>
    <n v="0"/>
    <n v="2"/>
    <x v="0"/>
    <x v="0"/>
    <x v="0"/>
  </r>
  <r>
    <x v="31"/>
    <n v="0"/>
    <n v="0"/>
    <n v="2"/>
    <x v="0"/>
    <x v="0"/>
    <x v="0"/>
  </r>
  <r>
    <x v="32"/>
    <n v="0"/>
    <n v="0"/>
    <n v="2"/>
    <x v="0"/>
    <x v="0"/>
    <x v="0"/>
  </r>
  <r>
    <x v="33"/>
    <n v="0"/>
    <n v="0"/>
    <n v="2"/>
    <x v="0"/>
    <x v="0"/>
    <x v="0"/>
  </r>
  <r>
    <x v="34"/>
    <n v="0"/>
    <n v="0"/>
    <n v="2"/>
    <x v="0"/>
    <x v="0"/>
    <x v="0"/>
  </r>
  <r>
    <x v="35"/>
    <n v="0"/>
    <n v="0"/>
    <n v="2"/>
    <x v="0"/>
    <x v="0"/>
    <x v="0"/>
  </r>
  <r>
    <x v="36"/>
    <n v="0"/>
    <n v="0"/>
    <n v="2"/>
    <x v="0"/>
    <x v="0"/>
    <x v="0"/>
  </r>
  <r>
    <x v="37"/>
    <n v="0"/>
    <n v="0"/>
    <n v="2"/>
    <x v="0"/>
    <x v="0"/>
    <x v="0"/>
  </r>
  <r>
    <x v="38"/>
    <n v="0"/>
    <n v="0"/>
    <n v="2"/>
    <x v="0"/>
    <x v="0"/>
    <x v="0"/>
  </r>
  <r>
    <x v="39"/>
    <n v="0"/>
    <n v="0"/>
    <n v="2"/>
    <x v="0"/>
    <x v="0"/>
    <x v="0"/>
  </r>
  <r>
    <x v="40"/>
    <n v="0"/>
    <n v="0"/>
    <n v="2"/>
    <x v="0"/>
    <x v="0"/>
    <x v="0"/>
  </r>
  <r>
    <x v="41"/>
    <n v="0"/>
    <n v="0"/>
    <n v="2"/>
    <x v="0"/>
    <x v="0"/>
    <x v="0"/>
  </r>
  <r>
    <x v="42"/>
    <n v="0"/>
    <n v="0"/>
    <n v="2"/>
    <x v="0"/>
    <x v="0"/>
    <x v="0"/>
  </r>
  <r>
    <x v="0"/>
    <n v="0"/>
    <n v="0"/>
    <n v="0"/>
    <x v="0"/>
    <x v="0"/>
    <x v="1"/>
  </r>
  <r>
    <x v="1"/>
    <n v="0"/>
    <n v="0"/>
    <n v="0"/>
    <x v="0"/>
    <x v="0"/>
    <x v="1"/>
  </r>
  <r>
    <x v="2"/>
    <n v="4"/>
    <n v="0"/>
    <n v="4"/>
    <x v="0"/>
    <x v="0"/>
    <x v="1"/>
  </r>
  <r>
    <x v="3"/>
    <n v="4"/>
    <n v="0"/>
    <n v="8"/>
    <x v="0"/>
    <x v="0"/>
    <x v="1"/>
  </r>
  <r>
    <x v="4"/>
    <n v="10"/>
    <n v="0"/>
    <n v="18"/>
    <x v="0"/>
    <x v="0"/>
    <x v="1"/>
  </r>
  <r>
    <x v="5"/>
    <n v="3"/>
    <n v="6"/>
    <n v="15"/>
    <x v="0"/>
    <x v="0"/>
    <x v="1"/>
  </r>
  <r>
    <x v="6"/>
    <n v="8"/>
    <n v="5"/>
    <n v="18"/>
    <x v="0"/>
    <x v="0"/>
    <x v="1"/>
  </r>
  <r>
    <x v="7"/>
    <n v="6"/>
    <n v="9"/>
    <n v="15"/>
    <x v="0"/>
    <x v="0"/>
    <x v="1"/>
  </r>
  <r>
    <x v="8"/>
    <n v="13"/>
    <n v="11"/>
    <n v="17"/>
    <x v="0"/>
    <x v="0"/>
    <x v="1"/>
  </r>
  <r>
    <x v="9"/>
    <n v="17"/>
    <n v="10"/>
    <n v="24"/>
    <x v="0"/>
    <x v="0"/>
    <x v="1"/>
  </r>
  <r>
    <x v="10"/>
    <n v="10"/>
    <n v="6"/>
    <n v="28"/>
    <x v="0"/>
    <x v="0"/>
    <x v="1"/>
  </r>
  <r>
    <x v="11"/>
    <n v="5"/>
    <n v="12"/>
    <n v="21"/>
    <x v="0"/>
    <x v="0"/>
    <x v="1"/>
  </r>
  <r>
    <x v="12"/>
    <n v="8"/>
    <n v="10"/>
    <n v="19"/>
    <x v="0"/>
    <x v="0"/>
    <x v="1"/>
  </r>
  <r>
    <x v="13"/>
    <n v="4"/>
    <n v="6"/>
    <n v="17"/>
    <x v="0"/>
    <x v="0"/>
    <x v="1"/>
  </r>
  <r>
    <x v="14"/>
    <n v="41"/>
    <n v="11"/>
    <n v="47"/>
    <x v="0"/>
    <x v="0"/>
    <x v="1"/>
  </r>
  <r>
    <x v="15"/>
    <n v="13"/>
    <n v="18"/>
    <n v="42"/>
    <x v="0"/>
    <x v="0"/>
    <x v="1"/>
  </r>
  <r>
    <x v="16"/>
    <n v="36"/>
    <n v="8"/>
    <n v="70"/>
    <x v="0"/>
    <x v="0"/>
    <x v="1"/>
  </r>
  <r>
    <x v="17"/>
    <n v="17"/>
    <n v="16"/>
    <n v="71"/>
    <x v="0"/>
    <x v="0"/>
    <x v="1"/>
  </r>
  <r>
    <x v="18"/>
    <n v="60"/>
    <n v="13"/>
    <n v="118"/>
    <x v="0"/>
    <x v="0"/>
    <x v="1"/>
  </r>
  <r>
    <x v="19"/>
    <n v="46"/>
    <n v="20"/>
    <n v="144"/>
    <x v="0"/>
    <x v="0"/>
    <x v="1"/>
  </r>
  <r>
    <x v="20"/>
    <n v="46"/>
    <n v="22"/>
    <n v="168"/>
    <x v="0"/>
    <x v="0"/>
    <x v="1"/>
  </r>
  <r>
    <x v="21"/>
    <n v="51"/>
    <n v="26"/>
    <n v="193"/>
    <x v="0"/>
    <x v="0"/>
    <x v="1"/>
  </r>
  <r>
    <x v="22"/>
    <n v="62"/>
    <n v="29"/>
    <n v="226"/>
    <x v="0"/>
    <x v="0"/>
    <x v="1"/>
  </r>
  <r>
    <x v="23"/>
    <n v="110"/>
    <n v="26"/>
    <n v="310"/>
    <x v="0"/>
    <x v="0"/>
    <x v="1"/>
  </r>
  <r>
    <x v="24"/>
    <n v="102"/>
    <n v="66"/>
    <n v="346"/>
    <x v="0"/>
    <x v="0"/>
    <x v="1"/>
  </r>
  <r>
    <x v="25"/>
    <n v="106"/>
    <n v="56"/>
    <n v="396"/>
    <x v="0"/>
    <x v="0"/>
    <x v="1"/>
  </r>
  <r>
    <x v="26"/>
    <n v="102"/>
    <n v="70"/>
    <n v="428"/>
    <x v="0"/>
    <x v="0"/>
    <x v="1"/>
  </r>
  <r>
    <x v="27"/>
    <n v="24"/>
    <n v="160"/>
    <n v="292"/>
    <x v="0"/>
    <x v="0"/>
    <x v="1"/>
  </r>
  <r>
    <x v="28"/>
    <n v="0"/>
    <n v="292"/>
    <n v="0"/>
    <x v="0"/>
    <x v="0"/>
    <x v="1"/>
  </r>
  <r>
    <x v="29"/>
    <n v="0"/>
    <n v="0"/>
    <n v="0"/>
    <x v="0"/>
    <x v="0"/>
    <x v="1"/>
  </r>
  <r>
    <x v="30"/>
    <n v="0"/>
    <n v="0"/>
    <n v="0"/>
    <x v="0"/>
    <x v="0"/>
    <x v="1"/>
  </r>
  <r>
    <x v="31"/>
    <n v="0"/>
    <n v="0"/>
    <n v="0"/>
    <x v="0"/>
    <x v="0"/>
    <x v="1"/>
  </r>
  <r>
    <x v="32"/>
    <n v="0"/>
    <n v="0"/>
    <n v="0"/>
    <x v="0"/>
    <x v="0"/>
    <x v="1"/>
  </r>
  <r>
    <x v="33"/>
    <n v="0"/>
    <n v="0"/>
    <n v="0"/>
    <x v="0"/>
    <x v="0"/>
    <x v="1"/>
  </r>
  <r>
    <x v="34"/>
    <n v="0"/>
    <n v="0"/>
    <n v="0"/>
    <x v="0"/>
    <x v="0"/>
    <x v="1"/>
  </r>
  <r>
    <x v="35"/>
    <n v="0"/>
    <n v="0"/>
    <n v="0"/>
    <x v="0"/>
    <x v="0"/>
    <x v="1"/>
  </r>
  <r>
    <x v="36"/>
    <n v="0"/>
    <n v="0"/>
    <n v="0"/>
    <x v="0"/>
    <x v="0"/>
    <x v="1"/>
  </r>
  <r>
    <x v="37"/>
    <n v="0"/>
    <n v="0"/>
    <n v="0"/>
    <x v="0"/>
    <x v="0"/>
    <x v="1"/>
  </r>
  <r>
    <x v="38"/>
    <n v="0"/>
    <n v="0"/>
    <n v="0"/>
    <x v="0"/>
    <x v="0"/>
    <x v="1"/>
  </r>
  <r>
    <x v="39"/>
    <n v="0"/>
    <n v="0"/>
    <n v="0"/>
    <x v="0"/>
    <x v="0"/>
    <x v="1"/>
  </r>
  <r>
    <x v="40"/>
    <n v="0"/>
    <n v="0"/>
    <n v="0"/>
    <x v="0"/>
    <x v="0"/>
    <x v="1"/>
  </r>
  <r>
    <x v="41"/>
    <n v="0"/>
    <n v="0"/>
    <n v="0"/>
    <x v="0"/>
    <x v="0"/>
    <x v="1"/>
  </r>
  <r>
    <x v="42"/>
    <n v="0"/>
    <n v="0"/>
    <n v="0"/>
    <x v="0"/>
    <x v="0"/>
    <x v="1"/>
  </r>
  <r>
    <x v="0"/>
    <n v="71"/>
    <n v="0"/>
    <n v="71"/>
    <x v="0"/>
    <x v="1"/>
    <x v="0"/>
  </r>
  <r>
    <x v="1"/>
    <n v="87"/>
    <n v="4"/>
    <n v="154"/>
    <x v="0"/>
    <x v="1"/>
    <x v="0"/>
  </r>
  <r>
    <x v="2"/>
    <n v="46"/>
    <n v="23"/>
    <n v="177"/>
    <x v="0"/>
    <x v="1"/>
    <x v="0"/>
  </r>
  <r>
    <x v="3"/>
    <n v="79"/>
    <n v="36"/>
    <n v="220"/>
    <x v="0"/>
    <x v="1"/>
    <x v="0"/>
  </r>
  <r>
    <x v="4"/>
    <n v="161"/>
    <n v="57"/>
    <n v="324"/>
    <x v="0"/>
    <x v="1"/>
    <x v="0"/>
  </r>
  <r>
    <x v="5"/>
    <n v="149"/>
    <n v="131"/>
    <n v="342"/>
    <x v="0"/>
    <x v="1"/>
    <x v="0"/>
  </r>
  <r>
    <x v="6"/>
    <n v="116"/>
    <n v="107"/>
    <n v="351"/>
    <x v="0"/>
    <x v="1"/>
    <x v="0"/>
  </r>
  <r>
    <x v="7"/>
    <n v="81"/>
    <n v="84"/>
    <n v="348"/>
    <x v="0"/>
    <x v="1"/>
    <x v="0"/>
  </r>
  <r>
    <x v="8"/>
    <n v="105"/>
    <n v="96"/>
    <n v="357"/>
    <x v="0"/>
    <x v="1"/>
    <x v="0"/>
  </r>
  <r>
    <x v="9"/>
    <n v="139"/>
    <n v="110"/>
    <n v="386"/>
    <x v="0"/>
    <x v="1"/>
    <x v="0"/>
  </r>
  <r>
    <x v="10"/>
    <n v="103"/>
    <n v="115"/>
    <n v="374"/>
    <x v="0"/>
    <x v="1"/>
    <x v="0"/>
  </r>
  <r>
    <x v="11"/>
    <n v="158"/>
    <n v="155"/>
    <n v="377"/>
    <x v="0"/>
    <x v="1"/>
    <x v="0"/>
  </r>
  <r>
    <x v="12"/>
    <n v="114"/>
    <n v="125"/>
    <n v="366"/>
    <x v="0"/>
    <x v="1"/>
    <x v="0"/>
  </r>
  <r>
    <x v="13"/>
    <n v="138"/>
    <n v="152"/>
    <n v="352"/>
    <x v="0"/>
    <x v="1"/>
    <x v="0"/>
  </r>
  <r>
    <x v="14"/>
    <n v="152"/>
    <n v="96"/>
    <n v="408"/>
    <x v="0"/>
    <x v="1"/>
    <x v="0"/>
  </r>
  <r>
    <x v="15"/>
    <n v="102"/>
    <n v="153"/>
    <n v="357"/>
    <x v="0"/>
    <x v="1"/>
    <x v="0"/>
  </r>
  <r>
    <x v="16"/>
    <n v="126"/>
    <n v="110"/>
    <n v="373"/>
    <x v="0"/>
    <x v="1"/>
    <x v="0"/>
  </r>
  <r>
    <x v="17"/>
    <n v="90"/>
    <n v="125"/>
    <n v="338"/>
    <x v="0"/>
    <x v="1"/>
    <x v="0"/>
  </r>
  <r>
    <x v="18"/>
    <n v="226"/>
    <n v="200"/>
    <n v="364"/>
    <x v="0"/>
    <x v="1"/>
    <x v="0"/>
  </r>
  <r>
    <x v="19"/>
    <n v="119"/>
    <n v="85"/>
    <n v="398"/>
    <x v="0"/>
    <x v="1"/>
    <x v="0"/>
  </r>
  <r>
    <x v="20"/>
    <n v="138"/>
    <n v="76"/>
    <n v="460"/>
    <x v="0"/>
    <x v="1"/>
    <x v="0"/>
  </r>
  <r>
    <x v="21"/>
    <n v="130"/>
    <n v="88"/>
    <n v="502"/>
    <x v="0"/>
    <x v="1"/>
    <x v="0"/>
  </r>
  <r>
    <x v="22"/>
    <n v="180"/>
    <n v="116"/>
    <n v="566"/>
    <x v="0"/>
    <x v="1"/>
    <x v="0"/>
  </r>
  <r>
    <x v="23"/>
    <n v="84"/>
    <n v="64"/>
    <n v="586"/>
    <x v="0"/>
    <x v="1"/>
    <x v="0"/>
  </r>
  <r>
    <x v="24"/>
    <n v="209"/>
    <n v="154"/>
    <n v="641"/>
    <x v="0"/>
    <x v="1"/>
    <x v="0"/>
  </r>
  <r>
    <x v="25"/>
    <n v="160"/>
    <n v="182"/>
    <n v="619"/>
    <x v="0"/>
    <x v="1"/>
    <x v="0"/>
  </r>
  <r>
    <x v="26"/>
    <n v="230"/>
    <n v="161"/>
    <n v="688"/>
    <x v="0"/>
    <x v="1"/>
    <x v="0"/>
  </r>
  <r>
    <x v="27"/>
    <n v="136"/>
    <n v="132"/>
    <n v="692"/>
    <x v="0"/>
    <x v="1"/>
    <x v="0"/>
  </r>
  <r>
    <x v="28"/>
    <n v="220"/>
    <n v="124"/>
    <n v="788"/>
    <x v="0"/>
    <x v="1"/>
    <x v="0"/>
  </r>
  <r>
    <x v="29"/>
    <n v="144"/>
    <n v="153"/>
    <n v="779"/>
    <x v="0"/>
    <x v="1"/>
    <x v="0"/>
  </r>
  <r>
    <x v="30"/>
    <n v="168"/>
    <n v="203"/>
    <n v="744"/>
    <x v="0"/>
    <x v="1"/>
    <x v="0"/>
  </r>
  <r>
    <x v="31"/>
    <n v="160"/>
    <n v="106"/>
    <n v="798"/>
    <x v="0"/>
    <x v="1"/>
    <x v="0"/>
  </r>
  <r>
    <x v="32"/>
    <n v="102"/>
    <n v="212"/>
    <n v="688"/>
    <x v="0"/>
    <x v="1"/>
    <x v="0"/>
  </r>
  <r>
    <x v="33"/>
    <n v="102"/>
    <n v="178"/>
    <n v="612"/>
    <x v="0"/>
    <x v="1"/>
    <x v="0"/>
  </r>
  <r>
    <x v="34"/>
    <n v="62"/>
    <n v="156"/>
    <n v="518"/>
    <x v="0"/>
    <x v="1"/>
    <x v="0"/>
  </r>
  <r>
    <x v="35"/>
    <n v="60"/>
    <n v="144"/>
    <n v="434"/>
    <x v="0"/>
    <x v="1"/>
    <x v="0"/>
  </r>
  <r>
    <x v="36"/>
    <n v="4"/>
    <n v="184"/>
    <n v="254"/>
    <x v="0"/>
    <x v="1"/>
    <x v="0"/>
  </r>
  <r>
    <x v="37"/>
    <n v="0"/>
    <n v="254"/>
    <n v="0"/>
    <x v="0"/>
    <x v="1"/>
    <x v="0"/>
  </r>
  <r>
    <x v="38"/>
    <n v="0"/>
    <n v="0"/>
    <n v="0"/>
    <x v="0"/>
    <x v="1"/>
    <x v="0"/>
  </r>
  <r>
    <x v="39"/>
    <n v="0"/>
    <n v="0"/>
    <n v="0"/>
    <x v="0"/>
    <x v="1"/>
    <x v="0"/>
  </r>
  <r>
    <x v="40"/>
    <n v="0"/>
    <n v="0"/>
    <n v="0"/>
    <x v="0"/>
    <x v="1"/>
    <x v="0"/>
  </r>
  <r>
    <x v="41"/>
    <n v="0"/>
    <n v="0"/>
    <n v="0"/>
    <x v="0"/>
    <x v="1"/>
    <x v="0"/>
  </r>
  <r>
    <x v="42"/>
    <n v="0"/>
    <n v="0"/>
    <n v="0"/>
    <x v="0"/>
    <x v="1"/>
    <x v="0"/>
  </r>
  <r>
    <x v="0"/>
    <n v="18"/>
    <n v="0"/>
    <n v="18"/>
    <x v="0"/>
    <x v="1"/>
    <x v="1"/>
  </r>
  <r>
    <x v="1"/>
    <n v="23"/>
    <n v="6"/>
    <n v="35"/>
    <x v="0"/>
    <x v="1"/>
    <x v="1"/>
  </r>
  <r>
    <x v="2"/>
    <n v="5"/>
    <n v="8"/>
    <n v="32"/>
    <x v="0"/>
    <x v="1"/>
    <x v="1"/>
  </r>
  <r>
    <x v="3"/>
    <n v="9"/>
    <n v="4"/>
    <n v="37"/>
    <x v="0"/>
    <x v="1"/>
    <x v="1"/>
  </r>
  <r>
    <x v="4"/>
    <n v="29"/>
    <n v="5"/>
    <n v="61"/>
    <x v="0"/>
    <x v="1"/>
    <x v="1"/>
  </r>
  <r>
    <x v="5"/>
    <n v="5"/>
    <n v="4"/>
    <n v="62"/>
    <x v="0"/>
    <x v="1"/>
    <x v="1"/>
  </r>
  <r>
    <x v="6"/>
    <n v="20"/>
    <n v="7"/>
    <n v="75"/>
    <x v="0"/>
    <x v="1"/>
    <x v="1"/>
  </r>
  <r>
    <x v="7"/>
    <n v="7"/>
    <n v="12"/>
    <n v="70"/>
    <x v="0"/>
    <x v="1"/>
    <x v="1"/>
  </r>
  <r>
    <x v="8"/>
    <n v="7"/>
    <n v="19"/>
    <n v="58"/>
    <x v="0"/>
    <x v="1"/>
    <x v="1"/>
  </r>
  <r>
    <x v="9"/>
    <n v="21"/>
    <n v="3"/>
    <n v="76"/>
    <x v="0"/>
    <x v="1"/>
    <x v="1"/>
  </r>
  <r>
    <x v="10"/>
    <n v="31"/>
    <n v="15"/>
    <n v="92"/>
    <x v="0"/>
    <x v="1"/>
    <x v="1"/>
  </r>
  <r>
    <x v="11"/>
    <n v="18"/>
    <n v="44"/>
    <n v="66"/>
    <x v="0"/>
    <x v="1"/>
    <x v="1"/>
  </r>
  <r>
    <x v="12"/>
    <n v="5"/>
    <n v="22"/>
    <n v="49"/>
    <x v="0"/>
    <x v="1"/>
    <x v="1"/>
  </r>
  <r>
    <x v="13"/>
    <n v="9"/>
    <n v="17"/>
    <n v="41"/>
    <x v="0"/>
    <x v="1"/>
    <x v="1"/>
  </r>
  <r>
    <x v="14"/>
    <n v="8"/>
    <n v="4"/>
    <n v="45"/>
    <x v="0"/>
    <x v="1"/>
    <x v="1"/>
  </r>
  <r>
    <x v="15"/>
    <n v="20"/>
    <n v="10"/>
    <n v="55"/>
    <x v="0"/>
    <x v="1"/>
    <x v="1"/>
  </r>
  <r>
    <x v="16"/>
    <n v="29"/>
    <n v="13"/>
    <n v="71"/>
    <x v="0"/>
    <x v="1"/>
    <x v="1"/>
  </r>
  <r>
    <x v="17"/>
    <n v="15"/>
    <n v="17"/>
    <n v="69"/>
    <x v="0"/>
    <x v="1"/>
    <x v="1"/>
  </r>
  <r>
    <x v="18"/>
    <n v="96"/>
    <n v="32"/>
    <n v="133"/>
    <x v="0"/>
    <x v="1"/>
    <x v="1"/>
  </r>
  <r>
    <x v="19"/>
    <n v="100"/>
    <n v="26"/>
    <n v="207"/>
    <x v="0"/>
    <x v="1"/>
    <x v="1"/>
  </r>
  <r>
    <x v="20"/>
    <n v="93"/>
    <n v="39"/>
    <n v="261"/>
    <x v="0"/>
    <x v="1"/>
    <x v="1"/>
  </r>
  <r>
    <x v="21"/>
    <n v="46"/>
    <n v="66"/>
    <n v="241"/>
    <x v="0"/>
    <x v="1"/>
    <x v="1"/>
  </r>
  <r>
    <x v="22"/>
    <n v="89"/>
    <n v="48"/>
    <n v="282"/>
    <x v="0"/>
    <x v="1"/>
    <x v="1"/>
  </r>
  <r>
    <x v="23"/>
    <n v="48"/>
    <n v="26"/>
    <n v="304"/>
    <x v="0"/>
    <x v="1"/>
    <x v="1"/>
  </r>
  <r>
    <x v="24"/>
    <n v="94"/>
    <n v="29"/>
    <n v="369"/>
    <x v="0"/>
    <x v="1"/>
    <x v="1"/>
  </r>
  <r>
    <x v="25"/>
    <n v="130"/>
    <n v="114"/>
    <n v="385"/>
    <x v="0"/>
    <x v="1"/>
    <x v="1"/>
  </r>
  <r>
    <x v="26"/>
    <n v="112"/>
    <n v="74"/>
    <n v="423"/>
    <x v="0"/>
    <x v="1"/>
    <x v="1"/>
  </r>
  <r>
    <x v="27"/>
    <n v="162"/>
    <n v="44"/>
    <n v="541"/>
    <x v="0"/>
    <x v="1"/>
    <x v="1"/>
  </r>
  <r>
    <x v="28"/>
    <n v="96"/>
    <n v="32"/>
    <n v="605"/>
    <x v="0"/>
    <x v="1"/>
    <x v="1"/>
  </r>
  <r>
    <x v="29"/>
    <n v="168"/>
    <n v="112"/>
    <n v="661"/>
    <x v="0"/>
    <x v="1"/>
    <x v="1"/>
  </r>
  <r>
    <x v="30"/>
    <n v="133"/>
    <n v="68"/>
    <n v="726"/>
    <x v="0"/>
    <x v="1"/>
    <x v="1"/>
  </r>
  <r>
    <x v="31"/>
    <n v="180"/>
    <n v="78"/>
    <n v="828"/>
    <x v="0"/>
    <x v="1"/>
    <x v="1"/>
  </r>
  <r>
    <x v="32"/>
    <n v="139"/>
    <n v="164"/>
    <n v="803"/>
    <x v="0"/>
    <x v="1"/>
    <x v="1"/>
  </r>
  <r>
    <x v="33"/>
    <n v="148"/>
    <n v="178"/>
    <n v="773"/>
    <x v="0"/>
    <x v="1"/>
    <x v="1"/>
  </r>
  <r>
    <x v="34"/>
    <n v="102"/>
    <n v="155"/>
    <n v="720"/>
    <x v="0"/>
    <x v="1"/>
    <x v="1"/>
  </r>
  <r>
    <x v="35"/>
    <n v="22"/>
    <n v="158"/>
    <n v="584"/>
    <x v="0"/>
    <x v="1"/>
    <x v="1"/>
  </r>
  <r>
    <x v="36"/>
    <n v="0"/>
    <n v="210"/>
    <n v="374"/>
    <x v="0"/>
    <x v="1"/>
    <x v="1"/>
  </r>
  <r>
    <x v="37"/>
    <n v="0"/>
    <n v="374"/>
    <n v="0"/>
    <x v="0"/>
    <x v="1"/>
    <x v="1"/>
  </r>
  <r>
    <x v="38"/>
    <n v="0"/>
    <n v="0"/>
    <n v="0"/>
    <x v="0"/>
    <x v="1"/>
    <x v="1"/>
  </r>
  <r>
    <x v="39"/>
    <n v="0"/>
    <n v="0"/>
    <n v="0"/>
    <x v="0"/>
    <x v="1"/>
    <x v="1"/>
  </r>
  <r>
    <x v="40"/>
    <n v="0"/>
    <n v="0"/>
    <n v="0"/>
    <x v="0"/>
    <x v="1"/>
    <x v="1"/>
  </r>
  <r>
    <x v="41"/>
    <n v="0"/>
    <n v="0"/>
    <n v="0"/>
    <x v="0"/>
    <x v="1"/>
    <x v="1"/>
  </r>
  <r>
    <x v="42"/>
    <n v="0"/>
    <n v="0"/>
    <n v="0"/>
    <x v="0"/>
    <x v="1"/>
    <x v="1"/>
  </r>
  <r>
    <x v="0"/>
    <n v="189"/>
    <n v="0"/>
    <n v="189"/>
    <x v="0"/>
    <x v="2"/>
    <x v="0"/>
  </r>
  <r>
    <x v="1"/>
    <n v="113"/>
    <n v="1"/>
    <n v="301"/>
    <x v="0"/>
    <x v="2"/>
    <x v="0"/>
  </r>
  <r>
    <x v="2"/>
    <n v="97"/>
    <n v="26"/>
    <n v="372"/>
    <x v="0"/>
    <x v="2"/>
    <x v="0"/>
  </r>
  <r>
    <x v="3"/>
    <n v="107"/>
    <n v="39"/>
    <n v="440"/>
    <x v="0"/>
    <x v="2"/>
    <x v="0"/>
  </r>
  <r>
    <x v="4"/>
    <n v="92"/>
    <n v="63"/>
    <n v="469"/>
    <x v="0"/>
    <x v="2"/>
    <x v="0"/>
  </r>
  <r>
    <x v="5"/>
    <n v="146"/>
    <n v="68"/>
    <n v="547"/>
    <x v="0"/>
    <x v="2"/>
    <x v="0"/>
  </r>
  <r>
    <x v="6"/>
    <n v="144"/>
    <n v="73"/>
    <n v="618"/>
    <x v="0"/>
    <x v="2"/>
    <x v="0"/>
  </r>
  <r>
    <x v="7"/>
    <n v="111"/>
    <n v="95"/>
    <n v="634"/>
    <x v="0"/>
    <x v="2"/>
    <x v="0"/>
  </r>
  <r>
    <x v="8"/>
    <n v="112"/>
    <n v="133"/>
    <n v="613"/>
    <x v="0"/>
    <x v="2"/>
    <x v="0"/>
  </r>
  <r>
    <x v="9"/>
    <n v="95"/>
    <n v="126"/>
    <n v="582"/>
    <x v="0"/>
    <x v="2"/>
    <x v="0"/>
  </r>
  <r>
    <x v="10"/>
    <n v="127"/>
    <n v="104"/>
    <n v="605"/>
    <x v="0"/>
    <x v="2"/>
    <x v="0"/>
  </r>
  <r>
    <x v="11"/>
    <n v="121"/>
    <n v="127"/>
    <n v="599"/>
    <x v="0"/>
    <x v="2"/>
    <x v="0"/>
  </r>
  <r>
    <x v="12"/>
    <n v="117"/>
    <n v="93"/>
    <n v="623"/>
    <x v="0"/>
    <x v="2"/>
    <x v="0"/>
  </r>
  <r>
    <x v="13"/>
    <n v="134"/>
    <n v="111"/>
    <n v="646"/>
    <x v="0"/>
    <x v="2"/>
    <x v="0"/>
  </r>
  <r>
    <x v="14"/>
    <n v="136"/>
    <n v="154"/>
    <n v="628"/>
    <x v="0"/>
    <x v="2"/>
    <x v="0"/>
  </r>
  <r>
    <x v="15"/>
    <n v="172"/>
    <n v="215"/>
    <n v="585"/>
    <x v="0"/>
    <x v="2"/>
    <x v="0"/>
  </r>
  <r>
    <x v="16"/>
    <n v="143"/>
    <n v="128"/>
    <n v="600"/>
    <x v="0"/>
    <x v="2"/>
    <x v="0"/>
  </r>
  <r>
    <x v="17"/>
    <n v="134"/>
    <n v="169"/>
    <n v="565"/>
    <x v="0"/>
    <x v="2"/>
    <x v="0"/>
  </r>
  <r>
    <x v="18"/>
    <n v="174"/>
    <n v="149"/>
    <n v="590"/>
    <x v="0"/>
    <x v="2"/>
    <x v="0"/>
  </r>
  <r>
    <x v="19"/>
    <n v="142"/>
    <n v="164"/>
    <n v="568"/>
    <x v="0"/>
    <x v="2"/>
    <x v="0"/>
  </r>
  <r>
    <x v="20"/>
    <n v="203"/>
    <n v="172"/>
    <n v="599"/>
    <x v="0"/>
    <x v="2"/>
    <x v="0"/>
  </r>
  <r>
    <x v="21"/>
    <n v="133"/>
    <n v="179"/>
    <n v="553"/>
    <x v="0"/>
    <x v="2"/>
    <x v="0"/>
  </r>
  <r>
    <x v="22"/>
    <n v="144"/>
    <n v="185"/>
    <n v="512"/>
    <x v="0"/>
    <x v="2"/>
    <x v="0"/>
  </r>
  <r>
    <x v="23"/>
    <n v="172"/>
    <n v="145"/>
    <n v="539"/>
    <x v="0"/>
    <x v="2"/>
    <x v="0"/>
  </r>
  <r>
    <x v="24"/>
    <n v="120"/>
    <n v="143"/>
    <n v="516"/>
    <x v="0"/>
    <x v="2"/>
    <x v="0"/>
  </r>
  <r>
    <x v="25"/>
    <n v="118"/>
    <n v="173"/>
    <n v="461"/>
    <x v="0"/>
    <x v="2"/>
    <x v="0"/>
  </r>
  <r>
    <x v="26"/>
    <n v="168"/>
    <n v="117"/>
    <n v="512"/>
    <x v="0"/>
    <x v="2"/>
    <x v="0"/>
  </r>
  <r>
    <x v="27"/>
    <n v="149"/>
    <n v="166"/>
    <n v="495"/>
    <x v="0"/>
    <x v="2"/>
    <x v="0"/>
  </r>
  <r>
    <x v="28"/>
    <n v="118"/>
    <n v="128"/>
    <n v="485"/>
    <x v="0"/>
    <x v="2"/>
    <x v="0"/>
  </r>
  <r>
    <x v="29"/>
    <n v="88"/>
    <n v="108"/>
    <n v="465"/>
    <x v="0"/>
    <x v="2"/>
    <x v="0"/>
  </r>
  <r>
    <x v="30"/>
    <n v="72"/>
    <n v="117"/>
    <n v="420"/>
    <x v="0"/>
    <x v="2"/>
    <x v="0"/>
  </r>
  <r>
    <x v="31"/>
    <n v="73"/>
    <n v="142"/>
    <n v="351"/>
    <x v="0"/>
    <x v="2"/>
    <x v="0"/>
  </r>
  <r>
    <x v="32"/>
    <n v="76"/>
    <n v="106"/>
    <n v="321"/>
    <x v="0"/>
    <x v="2"/>
    <x v="0"/>
  </r>
  <r>
    <x v="33"/>
    <n v="25"/>
    <n v="96"/>
    <n v="250"/>
    <x v="0"/>
    <x v="2"/>
    <x v="0"/>
  </r>
  <r>
    <x v="34"/>
    <n v="36"/>
    <n v="100"/>
    <n v="186"/>
    <x v="0"/>
    <x v="2"/>
    <x v="0"/>
  </r>
  <r>
    <x v="35"/>
    <n v="0"/>
    <n v="190"/>
    <n v="-4"/>
    <x v="0"/>
    <x v="2"/>
    <x v="0"/>
  </r>
  <r>
    <x v="36"/>
    <n v="0"/>
    <n v="0"/>
    <n v="-4"/>
    <x v="0"/>
    <x v="2"/>
    <x v="0"/>
  </r>
  <r>
    <x v="37"/>
    <n v="0"/>
    <n v="0"/>
    <n v="-4"/>
    <x v="0"/>
    <x v="2"/>
    <x v="0"/>
  </r>
  <r>
    <x v="38"/>
    <n v="0"/>
    <n v="0"/>
    <n v="-4"/>
    <x v="0"/>
    <x v="2"/>
    <x v="0"/>
  </r>
  <r>
    <x v="39"/>
    <n v="0"/>
    <n v="0"/>
    <n v="-4"/>
    <x v="0"/>
    <x v="2"/>
    <x v="0"/>
  </r>
  <r>
    <x v="40"/>
    <n v="0"/>
    <n v="0"/>
    <n v="-4"/>
    <x v="0"/>
    <x v="2"/>
    <x v="0"/>
  </r>
  <r>
    <x v="41"/>
    <n v="0"/>
    <n v="0"/>
    <n v="-4"/>
    <x v="0"/>
    <x v="2"/>
    <x v="0"/>
  </r>
  <r>
    <x v="42"/>
    <n v="41"/>
    <n v="0"/>
    <n v="37"/>
    <x v="0"/>
    <x v="2"/>
    <x v="0"/>
  </r>
  <r>
    <x v="0"/>
    <n v="37"/>
    <n v="0"/>
    <n v="37"/>
    <x v="0"/>
    <x v="2"/>
    <x v="1"/>
  </r>
  <r>
    <x v="1"/>
    <n v="9"/>
    <n v="0"/>
    <n v="46"/>
    <x v="0"/>
    <x v="2"/>
    <x v="1"/>
  </r>
  <r>
    <x v="2"/>
    <n v="25"/>
    <n v="10"/>
    <n v="61"/>
    <x v="0"/>
    <x v="2"/>
    <x v="1"/>
  </r>
  <r>
    <x v="3"/>
    <n v="26"/>
    <n v="23"/>
    <n v="64"/>
    <x v="0"/>
    <x v="2"/>
    <x v="1"/>
  </r>
  <r>
    <x v="4"/>
    <n v="25"/>
    <n v="8"/>
    <n v="81"/>
    <x v="0"/>
    <x v="2"/>
    <x v="1"/>
  </r>
  <r>
    <x v="5"/>
    <n v="6"/>
    <n v="21"/>
    <n v="66"/>
    <x v="0"/>
    <x v="2"/>
    <x v="1"/>
  </r>
  <r>
    <x v="6"/>
    <n v="15"/>
    <n v="12"/>
    <n v="69"/>
    <x v="0"/>
    <x v="2"/>
    <x v="1"/>
  </r>
  <r>
    <x v="7"/>
    <n v="12"/>
    <n v="12"/>
    <n v="69"/>
    <x v="0"/>
    <x v="2"/>
    <x v="1"/>
  </r>
  <r>
    <x v="8"/>
    <n v="14"/>
    <n v="13"/>
    <n v="70"/>
    <x v="0"/>
    <x v="2"/>
    <x v="1"/>
  </r>
  <r>
    <x v="9"/>
    <n v="17"/>
    <n v="10"/>
    <n v="77"/>
    <x v="0"/>
    <x v="2"/>
    <x v="1"/>
  </r>
  <r>
    <x v="10"/>
    <n v="20"/>
    <n v="10"/>
    <n v="87"/>
    <x v="0"/>
    <x v="2"/>
    <x v="1"/>
  </r>
  <r>
    <x v="11"/>
    <n v="4"/>
    <n v="16"/>
    <n v="75"/>
    <x v="0"/>
    <x v="2"/>
    <x v="1"/>
  </r>
  <r>
    <x v="12"/>
    <n v="10"/>
    <n v="16"/>
    <n v="69"/>
    <x v="0"/>
    <x v="2"/>
    <x v="1"/>
  </r>
  <r>
    <x v="13"/>
    <n v="9"/>
    <n v="8"/>
    <n v="70"/>
    <x v="0"/>
    <x v="2"/>
    <x v="1"/>
  </r>
  <r>
    <x v="14"/>
    <n v="22"/>
    <n v="13"/>
    <n v="79"/>
    <x v="0"/>
    <x v="2"/>
    <x v="1"/>
  </r>
  <r>
    <x v="15"/>
    <n v="28"/>
    <n v="19"/>
    <n v="88"/>
    <x v="0"/>
    <x v="2"/>
    <x v="1"/>
  </r>
  <r>
    <x v="16"/>
    <n v="20"/>
    <n v="11"/>
    <n v="97"/>
    <x v="0"/>
    <x v="2"/>
    <x v="1"/>
  </r>
  <r>
    <x v="17"/>
    <n v="35"/>
    <n v="30"/>
    <n v="102"/>
    <x v="0"/>
    <x v="2"/>
    <x v="1"/>
  </r>
  <r>
    <x v="18"/>
    <n v="82"/>
    <n v="39"/>
    <n v="145"/>
    <x v="0"/>
    <x v="2"/>
    <x v="1"/>
  </r>
  <r>
    <x v="19"/>
    <n v="30"/>
    <n v="26"/>
    <n v="149"/>
    <x v="0"/>
    <x v="2"/>
    <x v="1"/>
  </r>
  <r>
    <x v="20"/>
    <n v="44"/>
    <n v="35"/>
    <n v="158"/>
    <x v="0"/>
    <x v="2"/>
    <x v="1"/>
  </r>
  <r>
    <x v="21"/>
    <n v="51"/>
    <n v="18"/>
    <n v="191"/>
    <x v="0"/>
    <x v="2"/>
    <x v="1"/>
  </r>
  <r>
    <x v="22"/>
    <n v="91"/>
    <n v="47"/>
    <n v="235"/>
    <x v="0"/>
    <x v="2"/>
    <x v="1"/>
  </r>
  <r>
    <x v="23"/>
    <n v="56"/>
    <n v="33"/>
    <n v="258"/>
    <x v="0"/>
    <x v="2"/>
    <x v="1"/>
  </r>
  <r>
    <x v="24"/>
    <n v="69"/>
    <n v="74"/>
    <n v="253"/>
    <x v="0"/>
    <x v="2"/>
    <x v="1"/>
  </r>
  <r>
    <x v="25"/>
    <n v="92"/>
    <n v="59"/>
    <n v="286"/>
    <x v="0"/>
    <x v="2"/>
    <x v="1"/>
  </r>
  <r>
    <x v="26"/>
    <n v="76"/>
    <n v="69"/>
    <n v="293"/>
    <x v="0"/>
    <x v="2"/>
    <x v="1"/>
  </r>
  <r>
    <x v="27"/>
    <n v="66"/>
    <n v="74"/>
    <n v="285"/>
    <x v="0"/>
    <x v="2"/>
    <x v="1"/>
  </r>
  <r>
    <x v="28"/>
    <n v="132"/>
    <n v="38"/>
    <n v="379"/>
    <x v="0"/>
    <x v="2"/>
    <x v="1"/>
  </r>
  <r>
    <x v="29"/>
    <n v="88"/>
    <n v="74"/>
    <n v="393"/>
    <x v="0"/>
    <x v="2"/>
    <x v="1"/>
  </r>
  <r>
    <x v="30"/>
    <n v="76"/>
    <n v="88"/>
    <n v="381"/>
    <x v="0"/>
    <x v="2"/>
    <x v="1"/>
  </r>
  <r>
    <x v="31"/>
    <n v="62"/>
    <n v="99"/>
    <n v="344"/>
    <x v="0"/>
    <x v="2"/>
    <x v="1"/>
  </r>
  <r>
    <x v="32"/>
    <n v="66"/>
    <n v="90"/>
    <n v="320"/>
    <x v="0"/>
    <x v="2"/>
    <x v="1"/>
  </r>
  <r>
    <x v="33"/>
    <n v="10"/>
    <n v="94"/>
    <n v="236"/>
    <x v="0"/>
    <x v="2"/>
    <x v="1"/>
  </r>
  <r>
    <x v="34"/>
    <n v="30"/>
    <n v="172"/>
    <n v="94"/>
    <x v="0"/>
    <x v="2"/>
    <x v="1"/>
  </r>
  <r>
    <x v="35"/>
    <n v="0"/>
    <n v="94"/>
    <n v="0"/>
    <x v="0"/>
    <x v="2"/>
    <x v="1"/>
  </r>
  <r>
    <x v="36"/>
    <n v="0"/>
    <n v="0"/>
    <n v="0"/>
    <x v="0"/>
    <x v="2"/>
    <x v="1"/>
  </r>
  <r>
    <x v="37"/>
    <n v="0"/>
    <n v="0"/>
    <n v="0"/>
    <x v="0"/>
    <x v="2"/>
    <x v="1"/>
  </r>
  <r>
    <x v="38"/>
    <n v="0"/>
    <n v="0"/>
    <n v="0"/>
    <x v="0"/>
    <x v="2"/>
    <x v="1"/>
  </r>
  <r>
    <x v="39"/>
    <n v="0"/>
    <n v="0"/>
    <n v="0"/>
    <x v="0"/>
    <x v="2"/>
    <x v="1"/>
  </r>
  <r>
    <x v="40"/>
    <n v="0"/>
    <n v="0"/>
    <n v="0"/>
    <x v="0"/>
    <x v="2"/>
    <x v="1"/>
  </r>
  <r>
    <x v="41"/>
    <n v="0"/>
    <n v="0"/>
    <n v="0"/>
    <x v="0"/>
    <x v="2"/>
    <x v="1"/>
  </r>
  <r>
    <x v="42"/>
    <n v="0"/>
    <n v="0"/>
    <n v="0"/>
    <x v="0"/>
    <x v="2"/>
    <x v="1"/>
  </r>
  <r>
    <x v="0"/>
    <n v="2"/>
    <n v="0"/>
    <n v="2"/>
    <x v="1"/>
    <x v="0"/>
    <x v="0"/>
  </r>
  <r>
    <x v="1"/>
    <n v="1"/>
    <n v="0"/>
    <n v="3"/>
    <x v="1"/>
    <x v="0"/>
    <x v="0"/>
  </r>
  <r>
    <x v="2"/>
    <n v="37"/>
    <n v="0"/>
    <n v="40"/>
    <x v="1"/>
    <x v="0"/>
    <x v="0"/>
  </r>
  <r>
    <x v="3"/>
    <n v="19"/>
    <n v="4"/>
    <n v="55"/>
    <x v="1"/>
    <x v="0"/>
    <x v="0"/>
  </r>
  <r>
    <x v="4"/>
    <n v="13"/>
    <n v="10"/>
    <n v="58"/>
    <x v="1"/>
    <x v="0"/>
    <x v="0"/>
  </r>
  <r>
    <x v="5"/>
    <n v="13"/>
    <n v="11"/>
    <n v="60"/>
    <x v="1"/>
    <x v="0"/>
    <x v="0"/>
  </r>
  <r>
    <x v="6"/>
    <n v="32"/>
    <n v="6"/>
    <n v="86"/>
    <x v="1"/>
    <x v="0"/>
    <x v="0"/>
  </r>
  <r>
    <x v="7"/>
    <n v="13"/>
    <n v="18"/>
    <n v="81"/>
    <x v="1"/>
    <x v="0"/>
    <x v="0"/>
  </r>
  <r>
    <x v="8"/>
    <n v="35"/>
    <n v="14"/>
    <n v="102"/>
    <x v="1"/>
    <x v="0"/>
    <x v="0"/>
  </r>
  <r>
    <x v="9"/>
    <n v="26"/>
    <n v="26"/>
    <n v="102"/>
    <x v="1"/>
    <x v="0"/>
    <x v="0"/>
  </r>
  <r>
    <x v="10"/>
    <n v="21"/>
    <n v="11"/>
    <n v="112"/>
    <x v="1"/>
    <x v="0"/>
    <x v="0"/>
  </r>
  <r>
    <x v="11"/>
    <n v="26"/>
    <n v="27"/>
    <n v="111"/>
    <x v="1"/>
    <x v="0"/>
    <x v="0"/>
  </r>
  <r>
    <x v="12"/>
    <n v="46"/>
    <n v="24"/>
    <n v="133"/>
    <x v="1"/>
    <x v="0"/>
    <x v="0"/>
  </r>
  <r>
    <x v="13"/>
    <n v="42"/>
    <n v="36"/>
    <n v="139"/>
    <x v="1"/>
    <x v="0"/>
    <x v="0"/>
  </r>
  <r>
    <x v="14"/>
    <n v="69"/>
    <n v="29"/>
    <n v="179"/>
    <x v="1"/>
    <x v="0"/>
    <x v="0"/>
  </r>
  <r>
    <x v="15"/>
    <n v="53"/>
    <n v="55"/>
    <n v="177"/>
    <x v="1"/>
    <x v="0"/>
    <x v="0"/>
  </r>
  <r>
    <x v="16"/>
    <n v="20"/>
    <n v="22"/>
    <n v="175"/>
    <x v="1"/>
    <x v="0"/>
    <x v="0"/>
  </r>
  <r>
    <x v="17"/>
    <n v="39"/>
    <n v="42"/>
    <n v="172"/>
    <x v="1"/>
    <x v="0"/>
    <x v="0"/>
  </r>
  <r>
    <x v="18"/>
    <n v="35"/>
    <n v="43"/>
    <n v="164"/>
    <x v="1"/>
    <x v="0"/>
    <x v="0"/>
  </r>
  <r>
    <x v="19"/>
    <n v="63"/>
    <n v="38"/>
    <n v="189"/>
    <x v="1"/>
    <x v="0"/>
    <x v="0"/>
  </r>
  <r>
    <x v="20"/>
    <n v="42"/>
    <n v="31"/>
    <n v="200"/>
    <x v="1"/>
    <x v="0"/>
    <x v="0"/>
  </r>
  <r>
    <x v="21"/>
    <n v="71"/>
    <n v="59"/>
    <n v="212"/>
    <x v="1"/>
    <x v="0"/>
    <x v="0"/>
  </r>
  <r>
    <x v="22"/>
    <n v="55"/>
    <n v="34"/>
    <n v="233"/>
    <x v="1"/>
    <x v="0"/>
    <x v="0"/>
  </r>
  <r>
    <x v="23"/>
    <n v="76"/>
    <n v="55"/>
    <n v="254"/>
    <x v="1"/>
    <x v="0"/>
    <x v="0"/>
  </r>
  <r>
    <x v="24"/>
    <n v="41"/>
    <n v="49"/>
    <n v="246"/>
    <x v="1"/>
    <x v="0"/>
    <x v="0"/>
  </r>
  <r>
    <x v="25"/>
    <n v="55"/>
    <n v="76"/>
    <n v="225"/>
    <x v="1"/>
    <x v="0"/>
    <x v="0"/>
  </r>
  <r>
    <x v="26"/>
    <n v="28"/>
    <n v="30"/>
    <n v="223"/>
    <x v="1"/>
    <x v="0"/>
    <x v="0"/>
  </r>
  <r>
    <x v="27"/>
    <n v="3"/>
    <n v="189"/>
    <n v="37"/>
    <x v="1"/>
    <x v="0"/>
    <x v="0"/>
  </r>
  <r>
    <x v="28"/>
    <n v="0"/>
    <n v="27"/>
    <n v="10"/>
    <x v="1"/>
    <x v="0"/>
    <x v="0"/>
  </r>
  <r>
    <x v="29"/>
    <n v="0"/>
    <n v="10"/>
    <n v="0"/>
    <x v="1"/>
    <x v="0"/>
    <x v="0"/>
  </r>
  <r>
    <x v="30"/>
    <n v="0"/>
    <n v="0"/>
    <n v="0"/>
    <x v="1"/>
    <x v="0"/>
    <x v="0"/>
  </r>
  <r>
    <x v="31"/>
    <n v="0"/>
    <n v="0"/>
    <n v="0"/>
    <x v="1"/>
    <x v="0"/>
    <x v="0"/>
  </r>
  <r>
    <x v="32"/>
    <n v="0"/>
    <n v="0"/>
    <n v="0"/>
    <x v="1"/>
    <x v="0"/>
    <x v="0"/>
  </r>
  <r>
    <x v="33"/>
    <n v="0"/>
    <n v="0"/>
    <n v="0"/>
    <x v="1"/>
    <x v="0"/>
    <x v="0"/>
  </r>
  <r>
    <x v="34"/>
    <n v="0"/>
    <n v="0"/>
    <n v="0"/>
    <x v="1"/>
    <x v="0"/>
    <x v="0"/>
  </r>
  <r>
    <x v="35"/>
    <n v="0"/>
    <n v="0"/>
    <n v="0"/>
    <x v="1"/>
    <x v="0"/>
    <x v="0"/>
  </r>
  <r>
    <x v="36"/>
    <n v="0"/>
    <n v="0"/>
    <n v="0"/>
    <x v="1"/>
    <x v="0"/>
    <x v="0"/>
  </r>
  <r>
    <x v="37"/>
    <n v="0"/>
    <n v="0"/>
    <n v="0"/>
    <x v="1"/>
    <x v="0"/>
    <x v="0"/>
  </r>
  <r>
    <x v="38"/>
    <n v="0"/>
    <n v="0"/>
    <n v="0"/>
    <x v="1"/>
    <x v="0"/>
    <x v="0"/>
  </r>
  <r>
    <x v="39"/>
    <n v="0"/>
    <n v="0"/>
    <n v="0"/>
    <x v="1"/>
    <x v="0"/>
    <x v="0"/>
  </r>
  <r>
    <x v="40"/>
    <n v="0"/>
    <n v="0"/>
    <n v="0"/>
    <x v="1"/>
    <x v="0"/>
    <x v="0"/>
  </r>
  <r>
    <x v="41"/>
    <n v="0"/>
    <n v="0"/>
    <n v="0"/>
    <x v="1"/>
    <x v="0"/>
    <x v="0"/>
  </r>
  <r>
    <x v="42"/>
    <n v="0"/>
    <n v="0"/>
    <n v="0"/>
    <x v="1"/>
    <x v="0"/>
    <x v="0"/>
  </r>
  <r>
    <x v="0"/>
    <n v="1"/>
    <n v="0"/>
    <n v="1"/>
    <x v="1"/>
    <x v="0"/>
    <x v="1"/>
  </r>
  <r>
    <x v="1"/>
    <n v="0"/>
    <n v="0"/>
    <n v="1"/>
    <x v="1"/>
    <x v="0"/>
    <x v="1"/>
  </r>
  <r>
    <x v="2"/>
    <n v="12"/>
    <n v="0"/>
    <n v="13"/>
    <x v="1"/>
    <x v="0"/>
    <x v="1"/>
  </r>
  <r>
    <x v="3"/>
    <n v="0"/>
    <n v="4"/>
    <n v="9"/>
    <x v="1"/>
    <x v="0"/>
    <x v="1"/>
  </r>
  <r>
    <x v="4"/>
    <n v="3"/>
    <n v="1"/>
    <n v="11"/>
    <x v="1"/>
    <x v="0"/>
    <x v="1"/>
  </r>
  <r>
    <x v="5"/>
    <n v="3"/>
    <n v="2"/>
    <n v="12"/>
    <x v="1"/>
    <x v="0"/>
    <x v="1"/>
  </r>
  <r>
    <x v="6"/>
    <n v="6"/>
    <n v="2"/>
    <n v="16"/>
    <x v="1"/>
    <x v="0"/>
    <x v="1"/>
  </r>
  <r>
    <x v="7"/>
    <n v="10"/>
    <n v="3"/>
    <n v="23"/>
    <x v="1"/>
    <x v="0"/>
    <x v="1"/>
  </r>
  <r>
    <x v="8"/>
    <n v="13"/>
    <n v="4"/>
    <n v="32"/>
    <x v="1"/>
    <x v="0"/>
    <x v="1"/>
  </r>
  <r>
    <x v="9"/>
    <n v="6"/>
    <n v="5"/>
    <n v="33"/>
    <x v="1"/>
    <x v="0"/>
    <x v="1"/>
  </r>
  <r>
    <x v="10"/>
    <n v="5"/>
    <n v="2"/>
    <n v="36"/>
    <x v="1"/>
    <x v="0"/>
    <x v="1"/>
  </r>
  <r>
    <x v="11"/>
    <n v="5"/>
    <n v="5"/>
    <n v="36"/>
    <x v="1"/>
    <x v="0"/>
    <x v="1"/>
  </r>
  <r>
    <x v="12"/>
    <n v="9"/>
    <n v="5"/>
    <n v="40"/>
    <x v="1"/>
    <x v="0"/>
    <x v="1"/>
  </r>
  <r>
    <x v="13"/>
    <n v="7"/>
    <n v="12"/>
    <n v="35"/>
    <x v="1"/>
    <x v="0"/>
    <x v="1"/>
  </r>
  <r>
    <x v="14"/>
    <n v="23"/>
    <n v="4"/>
    <n v="54"/>
    <x v="1"/>
    <x v="0"/>
    <x v="1"/>
  </r>
  <r>
    <x v="15"/>
    <n v="23"/>
    <n v="5"/>
    <n v="72"/>
    <x v="1"/>
    <x v="0"/>
    <x v="1"/>
  </r>
  <r>
    <x v="16"/>
    <n v="22"/>
    <n v="8"/>
    <n v="86"/>
    <x v="1"/>
    <x v="0"/>
    <x v="1"/>
  </r>
  <r>
    <x v="17"/>
    <n v="24"/>
    <n v="10"/>
    <n v="100"/>
    <x v="1"/>
    <x v="0"/>
    <x v="1"/>
  </r>
  <r>
    <x v="18"/>
    <n v="36"/>
    <n v="16"/>
    <n v="120"/>
    <x v="1"/>
    <x v="0"/>
    <x v="1"/>
  </r>
  <r>
    <x v="19"/>
    <n v="40"/>
    <n v="16"/>
    <n v="144"/>
    <x v="1"/>
    <x v="0"/>
    <x v="1"/>
  </r>
  <r>
    <x v="20"/>
    <n v="40"/>
    <n v="13"/>
    <n v="171"/>
    <x v="1"/>
    <x v="0"/>
    <x v="1"/>
  </r>
  <r>
    <x v="21"/>
    <n v="42"/>
    <n v="30"/>
    <n v="183"/>
    <x v="1"/>
    <x v="0"/>
    <x v="1"/>
  </r>
  <r>
    <x v="22"/>
    <n v="54"/>
    <n v="31"/>
    <n v="206"/>
    <x v="1"/>
    <x v="0"/>
    <x v="1"/>
  </r>
  <r>
    <x v="23"/>
    <n v="55"/>
    <n v="42"/>
    <n v="219"/>
    <x v="1"/>
    <x v="0"/>
    <x v="1"/>
  </r>
  <r>
    <x v="24"/>
    <n v="83"/>
    <n v="31"/>
    <n v="271"/>
    <x v="1"/>
    <x v="0"/>
    <x v="1"/>
  </r>
  <r>
    <x v="25"/>
    <n v="31"/>
    <n v="50"/>
    <n v="252"/>
    <x v="1"/>
    <x v="0"/>
    <x v="1"/>
  </r>
  <r>
    <x v="26"/>
    <n v="7"/>
    <n v="60"/>
    <n v="199"/>
    <x v="1"/>
    <x v="0"/>
    <x v="1"/>
  </r>
  <r>
    <x v="27"/>
    <n v="3"/>
    <n v="180"/>
    <n v="22"/>
    <x v="1"/>
    <x v="0"/>
    <x v="1"/>
  </r>
  <r>
    <x v="28"/>
    <n v="0"/>
    <n v="18"/>
    <n v="4"/>
    <x v="1"/>
    <x v="0"/>
    <x v="1"/>
  </r>
  <r>
    <x v="29"/>
    <n v="0"/>
    <n v="4"/>
    <n v="0"/>
    <x v="1"/>
    <x v="0"/>
    <x v="1"/>
  </r>
  <r>
    <x v="30"/>
    <n v="0"/>
    <n v="0"/>
    <n v="0"/>
    <x v="1"/>
    <x v="0"/>
    <x v="1"/>
  </r>
  <r>
    <x v="31"/>
    <n v="0"/>
    <n v="0"/>
    <n v="0"/>
    <x v="1"/>
    <x v="0"/>
    <x v="1"/>
  </r>
  <r>
    <x v="32"/>
    <n v="0"/>
    <n v="0"/>
    <n v="0"/>
    <x v="1"/>
    <x v="0"/>
    <x v="1"/>
  </r>
  <r>
    <x v="33"/>
    <n v="0"/>
    <n v="0"/>
    <n v="0"/>
    <x v="1"/>
    <x v="0"/>
    <x v="1"/>
  </r>
  <r>
    <x v="34"/>
    <n v="0"/>
    <n v="0"/>
    <n v="0"/>
    <x v="1"/>
    <x v="0"/>
    <x v="1"/>
  </r>
  <r>
    <x v="35"/>
    <n v="0"/>
    <n v="0"/>
    <n v="0"/>
    <x v="1"/>
    <x v="0"/>
    <x v="1"/>
  </r>
  <r>
    <x v="36"/>
    <n v="0"/>
    <n v="0"/>
    <n v="0"/>
    <x v="1"/>
    <x v="0"/>
    <x v="1"/>
  </r>
  <r>
    <x v="37"/>
    <n v="0"/>
    <n v="0"/>
    <n v="0"/>
    <x v="1"/>
    <x v="0"/>
    <x v="1"/>
  </r>
  <r>
    <x v="38"/>
    <n v="0"/>
    <n v="0"/>
    <n v="0"/>
    <x v="1"/>
    <x v="0"/>
    <x v="1"/>
  </r>
  <r>
    <x v="39"/>
    <n v="0"/>
    <n v="0"/>
    <n v="0"/>
    <x v="1"/>
    <x v="0"/>
    <x v="1"/>
  </r>
  <r>
    <x v="40"/>
    <n v="0"/>
    <n v="0"/>
    <n v="0"/>
    <x v="1"/>
    <x v="0"/>
    <x v="1"/>
  </r>
  <r>
    <x v="41"/>
    <n v="0"/>
    <n v="0"/>
    <n v="0"/>
    <x v="1"/>
    <x v="0"/>
    <x v="1"/>
  </r>
  <r>
    <x v="42"/>
    <n v="0"/>
    <n v="0"/>
    <n v="0"/>
    <x v="1"/>
    <x v="0"/>
    <x v="1"/>
  </r>
  <r>
    <x v="0"/>
    <n v="47"/>
    <n v="0"/>
    <n v="47"/>
    <x v="1"/>
    <x v="1"/>
    <x v="0"/>
  </r>
  <r>
    <x v="1"/>
    <n v="4"/>
    <n v="8"/>
    <n v="43"/>
    <x v="1"/>
    <x v="1"/>
    <x v="0"/>
  </r>
  <r>
    <x v="2"/>
    <n v="20"/>
    <n v="3"/>
    <n v="60"/>
    <x v="1"/>
    <x v="1"/>
    <x v="0"/>
  </r>
  <r>
    <x v="3"/>
    <n v="22"/>
    <n v="17"/>
    <n v="65"/>
    <x v="1"/>
    <x v="1"/>
    <x v="0"/>
  </r>
  <r>
    <x v="4"/>
    <n v="22"/>
    <n v="19"/>
    <n v="68"/>
    <x v="1"/>
    <x v="1"/>
    <x v="0"/>
  </r>
  <r>
    <x v="5"/>
    <n v="46"/>
    <n v="16"/>
    <n v="98"/>
    <x v="1"/>
    <x v="1"/>
    <x v="0"/>
  </r>
  <r>
    <x v="6"/>
    <n v="36"/>
    <n v="27"/>
    <n v="107"/>
    <x v="1"/>
    <x v="1"/>
    <x v="0"/>
  </r>
  <r>
    <x v="7"/>
    <n v="24"/>
    <n v="27"/>
    <n v="104"/>
    <x v="1"/>
    <x v="1"/>
    <x v="0"/>
  </r>
  <r>
    <x v="8"/>
    <n v="33"/>
    <n v="17"/>
    <n v="120"/>
    <x v="1"/>
    <x v="1"/>
    <x v="0"/>
  </r>
  <r>
    <x v="9"/>
    <n v="30"/>
    <n v="27"/>
    <n v="123"/>
    <x v="1"/>
    <x v="1"/>
    <x v="0"/>
  </r>
  <r>
    <x v="10"/>
    <n v="44"/>
    <n v="45"/>
    <n v="122"/>
    <x v="1"/>
    <x v="1"/>
    <x v="0"/>
  </r>
  <r>
    <x v="11"/>
    <n v="41"/>
    <n v="41"/>
    <n v="122"/>
    <x v="1"/>
    <x v="1"/>
    <x v="0"/>
  </r>
  <r>
    <x v="12"/>
    <n v="23"/>
    <n v="49"/>
    <n v="96"/>
    <x v="1"/>
    <x v="1"/>
    <x v="0"/>
  </r>
  <r>
    <x v="13"/>
    <n v="27"/>
    <n v="49"/>
    <n v="74"/>
    <x v="1"/>
    <x v="1"/>
    <x v="0"/>
  </r>
  <r>
    <x v="14"/>
    <n v="124"/>
    <n v="8"/>
    <n v="190"/>
    <x v="1"/>
    <x v="1"/>
    <x v="0"/>
  </r>
  <r>
    <x v="15"/>
    <n v="57"/>
    <n v="71"/>
    <n v="176"/>
    <x v="1"/>
    <x v="1"/>
    <x v="0"/>
  </r>
  <r>
    <x v="16"/>
    <n v="62"/>
    <n v="40"/>
    <n v="198"/>
    <x v="1"/>
    <x v="1"/>
    <x v="0"/>
  </r>
  <r>
    <x v="17"/>
    <n v="44"/>
    <n v="66"/>
    <n v="176"/>
    <x v="1"/>
    <x v="1"/>
    <x v="0"/>
  </r>
  <r>
    <x v="18"/>
    <n v="76"/>
    <n v="46"/>
    <n v="206"/>
    <x v="1"/>
    <x v="1"/>
    <x v="0"/>
  </r>
  <r>
    <x v="19"/>
    <n v="78"/>
    <n v="67"/>
    <n v="217"/>
    <x v="1"/>
    <x v="1"/>
    <x v="0"/>
  </r>
  <r>
    <x v="20"/>
    <n v="43"/>
    <n v="39"/>
    <n v="221"/>
    <x v="1"/>
    <x v="1"/>
    <x v="0"/>
  </r>
  <r>
    <x v="21"/>
    <n v="46"/>
    <n v="60"/>
    <n v="207"/>
    <x v="1"/>
    <x v="1"/>
    <x v="0"/>
  </r>
  <r>
    <x v="22"/>
    <n v="60"/>
    <n v="34"/>
    <n v="233"/>
    <x v="1"/>
    <x v="1"/>
    <x v="0"/>
  </r>
  <r>
    <x v="23"/>
    <n v="87"/>
    <n v="67"/>
    <n v="253"/>
    <x v="1"/>
    <x v="1"/>
    <x v="0"/>
  </r>
  <r>
    <x v="24"/>
    <n v="82"/>
    <n v="33"/>
    <n v="302"/>
    <x v="1"/>
    <x v="1"/>
    <x v="0"/>
  </r>
  <r>
    <x v="25"/>
    <n v="88"/>
    <n v="89"/>
    <n v="301"/>
    <x v="1"/>
    <x v="1"/>
    <x v="0"/>
  </r>
  <r>
    <x v="26"/>
    <n v="81"/>
    <n v="30"/>
    <n v="352"/>
    <x v="1"/>
    <x v="1"/>
    <x v="0"/>
  </r>
  <r>
    <x v="27"/>
    <n v="70"/>
    <n v="138"/>
    <n v="284"/>
    <x v="1"/>
    <x v="1"/>
    <x v="0"/>
  </r>
  <r>
    <x v="28"/>
    <n v="35"/>
    <n v="41"/>
    <n v="278"/>
    <x v="1"/>
    <x v="1"/>
    <x v="0"/>
  </r>
  <r>
    <x v="29"/>
    <n v="47"/>
    <n v="77"/>
    <n v="248"/>
    <x v="1"/>
    <x v="1"/>
    <x v="0"/>
  </r>
  <r>
    <x v="30"/>
    <n v="37"/>
    <n v="40"/>
    <n v="245"/>
    <x v="1"/>
    <x v="1"/>
    <x v="0"/>
  </r>
  <r>
    <x v="31"/>
    <n v="34"/>
    <n v="66"/>
    <n v="213"/>
    <x v="1"/>
    <x v="1"/>
    <x v="0"/>
  </r>
  <r>
    <x v="32"/>
    <n v="17"/>
    <n v="64"/>
    <n v="166"/>
    <x v="1"/>
    <x v="1"/>
    <x v="0"/>
  </r>
  <r>
    <x v="33"/>
    <n v="14"/>
    <n v="34"/>
    <n v="146"/>
    <x v="1"/>
    <x v="1"/>
    <x v="0"/>
  </r>
  <r>
    <x v="34"/>
    <n v="8"/>
    <n v="33"/>
    <n v="121"/>
    <x v="1"/>
    <x v="1"/>
    <x v="0"/>
  </r>
  <r>
    <x v="35"/>
    <n v="4"/>
    <n v="49"/>
    <n v="76"/>
    <x v="1"/>
    <x v="1"/>
    <x v="0"/>
  </r>
  <r>
    <x v="36"/>
    <n v="0"/>
    <n v="53"/>
    <n v="23"/>
    <x v="1"/>
    <x v="1"/>
    <x v="0"/>
  </r>
  <r>
    <x v="37"/>
    <n v="0"/>
    <n v="23"/>
    <n v="0"/>
    <x v="1"/>
    <x v="1"/>
    <x v="0"/>
  </r>
  <r>
    <x v="38"/>
    <n v="0"/>
    <n v="0"/>
    <n v="0"/>
    <x v="1"/>
    <x v="1"/>
    <x v="0"/>
  </r>
  <r>
    <x v="39"/>
    <n v="0"/>
    <n v="0"/>
    <n v="0"/>
    <x v="1"/>
    <x v="1"/>
    <x v="0"/>
  </r>
  <r>
    <x v="40"/>
    <n v="0"/>
    <n v="0"/>
    <n v="0"/>
    <x v="1"/>
    <x v="1"/>
    <x v="0"/>
  </r>
  <r>
    <x v="41"/>
    <n v="0"/>
    <n v="0"/>
    <n v="0"/>
    <x v="1"/>
    <x v="1"/>
    <x v="0"/>
  </r>
  <r>
    <x v="42"/>
    <n v="0"/>
    <n v="0"/>
    <n v="0"/>
    <x v="1"/>
    <x v="1"/>
    <x v="0"/>
  </r>
  <r>
    <x v="0"/>
    <n v="4"/>
    <n v="0"/>
    <n v="4"/>
    <x v="1"/>
    <x v="1"/>
    <x v="1"/>
  </r>
  <r>
    <x v="1"/>
    <n v="8"/>
    <n v="1"/>
    <n v="11"/>
    <x v="1"/>
    <x v="1"/>
    <x v="1"/>
  </r>
  <r>
    <x v="2"/>
    <n v="4"/>
    <n v="2"/>
    <n v="13"/>
    <x v="1"/>
    <x v="1"/>
    <x v="1"/>
  </r>
  <r>
    <x v="3"/>
    <n v="11"/>
    <n v="3"/>
    <n v="21"/>
    <x v="1"/>
    <x v="1"/>
    <x v="1"/>
  </r>
  <r>
    <x v="4"/>
    <n v="9"/>
    <n v="3"/>
    <n v="27"/>
    <x v="1"/>
    <x v="1"/>
    <x v="1"/>
  </r>
  <r>
    <x v="5"/>
    <n v="8"/>
    <n v="5"/>
    <n v="30"/>
    <x v="1"/>
    <x v="1"/>
    <x v="1"/>
  </r>
  <r>
    <x v="6"/>
    <n v="13"/>
    <n v="4"/>
    <n v="39"/>
    <x v="1"/>
    <x v="1"/>
    <x v="1"/>
  </r>
  <r>
    <x v="7"/>
    <n v="13"/>
    <n v="5"/>
    <n v="47"/>
    <x v="1"/>
    <x v="1"/>
    <x v="1"/>
  </r>
  <r>
    <x v="8"/>
    <n v="16"/>
    <n v="10"/>
    <n v="53"/>
    <x v="1"/>
    <x v="1"/>
    <x v="1"/>
  </r>
  <r>
    <x v="9"/>
    <n v="7"/>
    <n v="13"/>
    <n v="47"/>
    <x v="1"/>
    <x v="1"/>
    <x v="1"/>
  </r>
  <r>
    <x v="10"/>
    <n v="23"/>
    <n v="9"/>
    <n v="61"/>
    <x v="1"/>
    <x v="1"/>
    <x v="1"/>
  </r>
  <r>
    <x v="11"/>
    <n v="6"/>
    <n v="12"/>
    <n v="55"/>
    <x v="1"/>
    <x v="1"/>
    <x v="1"/>
  </r>
  <r>
    <x v="12"/>
    <n v="14"/>
    <n v="23"/>
    <n v="46"/>
    <x v="1"/>
    <x v="1"/>
    <x v="1"/>
  </r>
  <r>
    <x v="13"/>
    <n v="4"/>
    <n v="35"/>
    <n v="15"/>
    <x v="1"/>
    <x v="1"/>
    <x v="1"/>
  </r>
  <r>
    <x v="14"/>
    <n v="52"/>
    <n v="4"/>
    <n v="63"/>
    <x v="1"/>
    <x v="1"/>
    <x v="1"/>
  </r>
  <r>
    <x v="15"/>
    <n v="19"/>
    <n v="9"/>
    <n v="73"/>
    <x v="1"/>
    <x v="1"/>
    <x v="1"/>
  </r>
  <r>
    <x v="16"/>
    <n v="25"/>
    <n v="11"/>
    <n v="87"/>
    <x v="1"/>
    <x v="1"/>
    <x v="1"/>
  </r>
  <r>
    <x v="17"/>
    <n v="15"/>
    <n v="18"/>
    <n v="84"/>
    <x v="1"/>
    <x v="1"/>
    <x v="1"/>
  </r>
  <r>
    <x v="18"/>
    <n v="53"/>
    <n v="23"/>
    <n v="114"/>
    <x v="1"/>
    <x v="1"/>
    <x v="1"/>
  </r>
  <r>
    <x v="19"/>
    <n v="44"/>
    <n v="21"/>
    <n v="137"/>
    <x v="1"/>
    <x v="1"/>
    <x v="1"/>
  </r>
  <r>
    <x v="20"/>
    <n v="33"/>
    <n v="14"/>
    <n v="156"/>
    <x v="1"/>
    <x v="1"/>
    <x v="1"/>
  </r>
  <r>
    <x v="21"/>
    <n v="23"/>
    <n v="34"/>
    <n v="145"/>
    <x v="1"/>
    <x v="1"/>
    <x v="1"/>
  </r>
  <r>
    <x v="22"/>
    <n v="46"/>
    <n v="28"/>
    <n v="163"/>
    <x v="1"/>
    <x v="1"/>
    <x v="1"/>
  </r>
  <r>
    <x v="23"/>
    <n v="52"/>
    <n v="34"/>
    <n v="181"/>
    <x v="1"/>
    <x v="1"/>
    <x v="1"/>
  </r>
  <r>
    <x v="24"/>
    <n v="46"/>
    <n v="17"/>
    <n v="210"/>
    <x v="1"/>
    <x v="1"/>
    <x v="1"/>
  </r>
  <r>
    <x v="25"/>
    <n v="77"/>
    <n v="49"/>
    <n v="238"/>
    <x v="1"/>
    <x v="1"/>
    <x v="1"/>
  </r>
  <r>
    <x v="26"/>
    <n v="64"/>
    <n v="46"/>
    <n v="256"/>
    <x v="1"/>
    <x v="1"/>
    <x v="1"/>
  </r>
  <r>
    <x v="27"/>
    <n v="42"/>
    <n v="97"/>
    <n v="201"/>
    <x v="1"/>
    <x v="1"/>
    <x v="1"/>
  </r>
  <r>
    <x v="28"/>
    <n v="119"/>
    <n v="28"/>
    <n v="292"/>
    <x v="1"/>
    <x v="1"/>
    <x v="1"/>
  </r>
  <r>
    <x v="29"/>
    <n v="22"/>
    <n v="89"/>
    <n v="225"/>
    <x v="1"/>
    <x v="1"/>
    <x v="1"/>
  </r>
  <r>
    <x v="30"/>
    <n v="29"/>
    <n v="77"/>
    <n v="177"/>
    <x v="1"/>
    <x v="1"/>
    <x v="1"/>
  </r>
  <r>
    <x v="31"/>
    <n v="40"/>
    <n v="53"/>
    <n v="164"/>
    <x v="1"/>
    <x v="1"/>
    <x v="1"/>
  </r>
  <r>
    <x v="32"/>
    <n v="22"/>
    <n v="51"/>
    <n v="135"/>
    <x v="1"/>
    <x v="1"/>
    <x v="1"/>
  </r>
  <r>
    <x v="33"/>
    <n v="33"/>
    <n v="56"/>
    <n v="112"/>
    <x v="1"/>
    <x v="1"/>
    <x v="1"/>
  </r>
  <r>
    <x v="34"/>
    <n v="33"/>
    <n v="35"/>
    <n v="110"/>
    <x v="1"/>
    <x v="1"/>
    <x v="1"/>
  </r>
  <r>
    <x v="35"/>
    <n v="13"/>
    <n v="62"/>
    <n v="61"/>
    <x v="1"/>
    <x v="1"/>
    <x v="1"/>
  </r>
  <r>
    <x v="36"/>
    <n v="0"/>
    <n v="53"/>
    <n v="8"/>
    <x v="1"/>
    <x v="1"/>
    <x v="1"/>
  </r>
  <r>
    <x v="37"/>
    <n v="0"/>
    <n v="8"/>
    <n v="0"/>
    <x v="1"/>
    <x v="1"/>
    <x v="1"/>
  </r>
  <r>
    <x v="38"/>
    <n v="0"/>
    <n v="0"/>
    <n v="0"/>
    <x v="1"/>
    <x v="1"/>
    <x v="1"/>
  </r>
  <r>
    <x v="39"/>
    <n v="0"/>
    <n v="0"/>
    <n v="0"/>
    <x v="1"/>
    <x v="1"/>
    <x v="1"/>
  </r>
  <r>
    <x v="40"/>
    <n v="0"/>
    <n v="0"/>
    <n v="0"/>
    <x v="1"/>
    <x v="1"/>
    <x v="1"/>
  </r>
  <r>
    <x v="41"/>
    <n v="0"/>
    <n v="0"/>
    <n v="0"/>
    <x v="1"/>
    <x v="1"/>
    <x v="1"/>
  </r>
  <r>
    <x v="42"/>
    <n v="0"/>
    <n v="0"/>
    <n v="0"/>
    <x v="1"/>
    <x v="1"/>
    <x v="1"/>
  </r>
  <r>
    <x v="0"/>
    <n v="58"/>
    <n v="0"/>
    <n v="58"/>
    <x v="1"/>
    <x v="2"/>
    <x v="0"/>
  </r>
  <r>
    <x v="1"/>
    <n v="15"/>
    <n v="9"/>
    <n v="64"/>
    <x v="1"/>
    <x v="2"/>
    <x v="0"/>
  </r>
  <r>
    <x v="2"/>
    <n v="23"/>
    <n v="14"/>
    <n v="73"/>
    <x v="1"/>
    <x v="2"/>
    <x v="0"/>
  </r>
  <r>
    <x v="3"/>
    <n v="32"/>
    <n v="11"/>
    <n v="94"/>
    <x v="1"/>
    <x v="2"/>
    <x v="0"/>
  </r>
  <r>
    <x v="4"/>
    <n v="28"/>
    <n v="19"/>
    <n v="103"/>
    <x v="1"/>
    <x v="2"/>
    <x v="0"/>
  </r>
  <r>
    <x v="5"/>
    <n v="35"/>
    <n v="26"/>
    <n v="112"/>
    <x v="1"/>
    <x v="2"/>
    <x v="0"/>
  </r>
  <r>
    <x v="6"/>
    <n v="27"/>
    <n v="22"/>
    <n v="117"/>
    <x v="1"/>
    <x v="2"/>
    <x v="0"/>
  </r>
  <r>
    <x v="7"/>
    <n v="25"/>
    <n v="24"/>
    <n v="118"/>
    <x v="1"/>
    <x v="2"/>
    <x v="0"/>
  </r>
  <r>
    <x v="8"/>
    <n v="35"/>
    <n v="25"/>
    <n v="128"/>
    <x v="1"/>
    <x v="2"/>
    <x v="0"/>
  </r>
  <r>
    <x v="9"/>
    <n v="22"/>
    <n v="31"/>
    <n v="119"/>
    <x v="1"/>
    <x v="2"/>
    <x v="0"/>
  </r>
  <r>
    <x v="10"/>
    <n v="28"/>
    <n v="17"/>
    <n v="130"/>
    <x v="1"/>
    <x v="2"/>
    <x v="0"/>
  </r>
  <r>
    <x v="11"/>
    <n v="42"/>
    <n v="35"/>
    <n v="137"/>
    <x v="1"/>
    <x v="2"/>
    <x v="0"/>
  </r>
  <r>
    <x v="12"/>
    <n v="28"/>
    <n v="30"/>
    <n v="135"/>
    <x v="1"/>
    <x v="2"/>
    <x v="0"/>
  </r>
  <r>
    <x v="13"/>
    <n v="15"/>
    <n v="70"/>
    <n v="80"/>
    <x v="1"/>
    <x v="2"/>
    <x v="0"/>
  </r>
  <r>
    <x v="14"/>
    <n v="85"/>
    <n v="13"/>
    <n v="152"/>
    <x v="1"/>
    <x v="2"/>
    <x v="0"/>
  </r>
  <r>
    <x v="15"/>
    <n v="33"/>
    <n v="52"/>
    <n v="133"/>
    <x v="1"/>
    <x v="2"/>
    <x v="0"/>
  </r>
  <r>
    <x v="16"/>
    <n v="28"/>
    <n v="47"/>
    <n v="114"/>
    <x v="1"/>
    <x v="2"/>
    <x v="0"/>
  </r>
  <r>
    <x v="17"/>
    <n v="33"/>
    <n v="24"/>
    <n v="123"/>
    <x v="1"/>
    <x v="2"/>
    <x v="0"/>
  </r>
  <r>
    <x v="18"/>
    <n v="73"/>
    <n v="28"/>
    <n v="168"/>
    <x v="1"/>
    <x v="2"/>
    <x v="0"/>
  </r>
  <r>
    <x v="19"/>
    <n v="33"/>
    <n v="49"/>
    <n v="152"/>
    <x v="1"/>
    <x v="2"/>
    <x v="0"/>
  </r>
  <r>
    <x v="20"/>
    <n v="37"/>
    <n v="16"/>
    <n v="173"/>
    <x v="1"/>
    <x v="2"/>
    <x v="0"/>
  </r>
  <r>
    <x v="21"/>
    <n v="42"/>
    <n v="51"/>
    <n v="164"/>
    <x v="1"/>
    <x v="2"/>
    <x v="0"/>
  </r>
  <r>
    <x v="22"/>
    <n v="45"/>
    <n v="26"/>
    <n v="183"/>
    <x v="1"/>
    <x v="2"/>
    <x v="0"/>
  </r>
  <r>
    <x v="23"/>
    <n v="40"/>
    <n v="50"/>
    <n v="173"/>
    <x v="1"/>
    <x v="2"/>
    <x v="0"/>
  </r>
  <r>
    <x v="24"/>
    <n v="71"/>
    <n v="27"/>
    <n v="217"/>
    <x v="1"/>
    <x v="2"/>
    <x v="0"/>
  </r>
  <r>
    <x v="25"/>
    <n v="49"/>
    <n v="58"/>
    <n v="208"/>
    <x v="1"/>
    <x v="2"/>
    <x v="0"/>
  </r>
  <r>
    <x v="26"/>
    <n v="75"/>
    <n v="36"/>
    <n v="247"/>
    <x v="1"/>
    <x v="2"/>
    <x v="0"/>
  </r>
  <r>
    <x v="27"/>
    <n v="43"/>
    <n v="57"/>
    <n v="233"/>
    <x v="1"/>
    <x v="2"/>
    <x v="0"/>
  </r>
  <r>
    <x v="28"/>
    <n v="33"/>
    <n v="29"/>
    <n v="237"/>
    <x v="1"/>
    <x v="2"/>
    <x v="0"/>
  </r>
  <r>
    <x v="29"/>
    <n v="20"/>
    <n v="71"/>
    <n v="186"/>
    <x v="1"/>
    <x v="2"/>
    <x v="0"/>
  </r>
  <r>
    <x v="30"/>
    <n v="19"/>
    <n v="46"/>
    <n v="159"/>
    <x v="1"/>
    <x v="2"/>
    <x v="0"/>
  </r>
  <r>
    <x v="31"/>
    <n v="3"/>
    <n v="60"/>
    <n v="102"/>
    <x v="1"/>
    <x v="2"/>
    <x v="0"/>
  </r>
  <r>
    <x v="32"/>
    <n v="3"/>
    <n v="28"/>
    <n v="77"/>
    <x v="1"/>
    <x v="2"/>
    <x v="0"/>
  </r>
  <r>
    <x v="33"/>
    <n v="0"/>
    <n v="32"/>
    <n v="45"/>
    <x v="1"/>
    <x v="2"/>
    <x v="0"/>
  </r>
  <r>
    <x v="34"/>
    <n v="0"/>
    <n v="30"/>
    <n v="15"/>
    <x v="1"/>
    <x v="2"/>
    <x v="0"/>
  </r>
  <r>
    <x v="35"/>
    <n v="0"/>
    <n v="15"/>
    <n v="0"/>
    <x v="1"/>
    <x v="2"/>
    <x v="0"/>
  </r>
  <r>
    <x v="36"/>
    <n v="0"/>
    <n v="0"/>
    <n v="0"/>
    <x v="1"/>
    <x v="2"/>
    <x v="0"/>
  </r>
  <r>
    <x v="37"/>
    <n v="0"/>
    <n v="0"/>
    <n v="0"/>
    <x v="1"/>
    <x v="2"/>
    <x v="0"/>
  </r>
  <r>
    <x v="38"/>
    <n v="0"/>
    <n v="0"/>
    <n v="0"/>
    <x v="1"/>
    <x v="2"/>
    <x v="0"/>
  </r>
  <r>
    <x v="39"/>
    <n v="0"/>
    <n v="0"/>
    <n v="0"/>
    <x v="1"/>
    <x v="2"/>
    <x v="0"/>
  </r>
  <r>
    <x v="40"/>
    <n v="0"/>
    <n v="0"/>
    <n v="0"/>
    <x v="1"/>
    <x v="2"/>
    <x v="0"/>
  </r>
  <r>
    <x v="41"/>
    <n v="0"/>
    <n v="0"/>
    <n v="0"/>
    <x v="1"/>
    <x v="2"/>
    <x v="0"/>
  </r>
  <r>
    <x v="42"/>
    <n v="0"/>
    <n v="0"/>
    <n v="0"/>
    <x v="1"/>
    <x v="2"/>
    <x v="0"/>
  </r>
  <r>
    <x v="0"/>
    <n v="14"/>
    <n v="0"/>
    <n v="14"/>
    <x v="1"/>
    <x v="2"/>
    <x v="1"/>
  </r>
  <r>
    <x v="1"/>
    <n v="4"/>
    <n v="3"/>
    <n v="15"/>
    <x v="1"/>
    <x v="2"/>
    <x v="1"/>
  </r>
  <r>
    <x v="2"/>
    <n v="14"/>
    <n v="4"/>
    <n v="25"/>
    <x v="1"/>
    <x v="2"/>
    <x v="1"/>
  </r>
  <r>
    <x v="3"/>
    <n v="6"/>
    <n v="7"/>
    <n v="24"/>
    <x v="1"/>
    <x v="2"/>
    <x v="1"/>
  </r>
  <r>
    <x v="4"/>
    <n v="10"/>
    <n v="4"/>
    <n v="30"/>
    <x v="1"/>
    <x v="2"/>
    <x v="1"/>
  </r>
  <r>
    <x v="5"/>
    <n v="14"/>
    <n v="6"/>
    <n v="38"/>
    <x v="1"/>
    <x v="2"/>
    <x v="1"/>
  </r>
  <r>
    <x v="6"/>
    <n v="10"/>
    <n v="8"/>
    <n v="40"/>
    <x v="1"/>
    <x v="2"/>
    <x v="1"/>
  </r>
  <r>
    <x v="7"/>
    <n v="20"/>
    <n v="9"/>
    <n v="51"/>
    <x v="1"/>
    <x v="2"/>
    <x v="1"/>
  </r>
  <r>
    <x v="8"/>
    <n v="9"/>
    <n v="7"/>
    <n v="53"/>
    <x v="1"/>
    <x v="2"/>
    <x v="1"/>
  </r>
  <r>
    <x v="9"/>
    <n v="16"/>
    <n v="3"/>
    <n v="66"/>
    <x v="1"/>
    <x v="2"/>
    <x v="1"/>
  </r>
  <r>
    <x v="10"/>
    <n v="7"/>
    <n v="10"/>
    <n v="63"/>
    <x v="1"/>
    <x v="2"/>
    <x v="1"/>
  </r>
  <r>
    <x v="11"/>
    <n v="10"/>
    <n v="6"/>
    <n v="67"/>
    <x v="1"/>
    <x v="2"/>
    <x v="1"/>
  </r>
  <r>
    <x v="12"/>
    <n v="11"/>
    <n v="14"/>
    <n v="64"/>
    <x v="1"/>
    <x v="2"/>
    <x v="1"/>
  </r>
  <r>
    <x v="13"/>
    <n v="1"/>
    <n v="38"/>
    <n v="27"/>
    <x v="1"/>
    <x v="2"/>
    <x v="1"/>
  </r>
  <r>
    <x v="14"/>
    <n v="48"/>
    <n v="1"/>
    <n v="74"/>
    <x v="1"/>
    <x v="2"/>
    <x v="1"/>
  </r>
  <r>
    <x v="15"/>
    <n v="10"/>
    <n v="15"/>
    <n v="69"/>
    <x v="1"/>
    <x v="2"/>
    <x v="1"/>
  </r>
  <r>
    <x v="16"/>
    <n v="12"/>
    <n v="18"/>
    <n v="63"/>
    <x v="1"/>
    <x v="2"/>
    <x v="1"/>
  </r>
  <r>
    <x v="17"/>
    <n v="12"/>
    <n v="14"/>
    <n v="61"/>
    <x v="1"/>
    <x v="2"/>
    <x v="1"/>
  </r>
  <r>
    <x v="18"/>
    <n v="41"/>
    <n v="11"/>
    <n v="91"/>
    <x v="1"/>
    <x v="2"/>
    <x v="1"/>
  </r>
  <r>
    <x v="19"/>
    <n v="21"/>
    <n v="12"/>
    <n v="100"/>
    <x v="1"/>
    <x v="2"/>
    <x v="1"/>
  </r>
  <r>
    <x v="20"/>
    <n v="22"/>
    <n v="5"/>
    <n v="117"/>
    <x v="1"/>
    <x v="2"/>
    <x v="1"/>
  </r>
  <r>
    <x v="21"/>
    <n v="17"/>
    <n v="27"/>
    <n v="107"/>
    <x v="1"/>
    <x v="2"/>
    <x v="1"/>
  </r>
  <r>
    <x v="22"/>
    <n v="66"/>
    <n v="17"/>
    <n v="156"/>
    <x v="1"/>
    <x v="2"/>
    <x v="1"/>
  </r>
  <r>
    <x v="23"/>
    <n v="43"/>
    <n v="46"/>
    <n v="153"/>
    <x v="1"/>
    <x v="2"/>
    <x v="1"/>
  </r>
  <r>
    <x v="24"/>
    <n v="86"/>
    <n v="27"/>
    <n v="212"/>
    <x v="1"/>
    <x v="2"/>
    <x v="1"/>
  </r>
  <r>
    <x v="25"/>
    <n v="65"/>
    <n v="45"/>
    <n v="232"/>
    <x v="1"/>
    <x v="2"/>
    <x v="1"/>
  </r>
  <r>
    <x v="26"/>
    <n v="41"/>
    <n v="36"/>
    <n v="237"/>
    <x v="1"/>
    <x v="2"/>
    <x v="1"/>
  </r>
  <r>
    <x v="27"/>
    <n v="48"/>
    <n v="63"/>
    <n v="222"/>
    <x v="1"/>
    <x v="2"/>
    <x v="1"/>
  </r>
  <r>
    <x v="28"/>
    <n v="19"/>
    <n v="26"/>
    <n v="215"/>
    <x v="1"/>
    <x v="2"/>
    <x v="1"/>
  </r>
  <r>
    <x v="29"/>
    <n v="8"/>
    <n v="96"/>
    <n v="127"/>
    <x v="1"/>
    <x v="2"/>
    <x v="1"/>
  </r>
  <r>
    <x v="30"/>
    <n v="28"/>
    <n v="12"/>
    <n v="143"/>
    <x v="1"/>
    <x v="2"/>
    <x v="1"/>
  </r>
  <r>
    <x v="31"/>
    <n v="3"/>
    <n v="65"/>
    <n v="81"/>
    <x v="1"/>
    <x v="2"/>
    <x v="1"/>
  </r>
  <r>
    <x v="32"/>
    <n v="1"/>
    <n v="25"/>
    <n v="57"/>
    <x v="1"/>
    <x v="2"/>
    <x v="1"/>
  </r>
  <r>
    <x v="33"/>
    <n v="0"/>
    <n v="32"/>
    <n v="25"/>
    <x v="1"/>
    <x v="2"/>
    <x v="1"/>
  </r>
  <r>
    <x v="34"/>
    <n v="0"/>
    <n v="17"/>
    <n v="8"/>
    <x v="1"/>
    <x v="2"/>
    <x v="1"/>
  </r>
  <r>
    <x v="35"/>
    <n v="0"/>
    <n v="8"/>
    <n v="0"/>
    <x v="1"/>
    <x v="2"/>
    <x v="1"/>
  </r>
  <r>
    <x v="36"/>
    <n v="0"/>
    <n v="0"/>
    <n v="0"/>
    <x v="1"/>
    <x v="2"/>
    <x v="1"/>
  </r>
  <r>
    <x v="37"/>
    <n v="0"/>
    <n v="0"/>
    <n v="0"/>
    <x v="1"/>
    <x v="2"/>
    <x v="1"/>
  </r>
  <r>
    <x v="38"/>
    <n v="0"/>
    <n v="0"/>
    <n v="0"/>
    <x v="1"/>
    <x v="2"/>
    <x v="1"/>
  </r>
  <r>
    <x v="39"/>
    <n v="0"/>
    <n v="0"/>
    <n v="0"/>
    <x v="1"/>
    <x v="2"/>
    <x v="1"/>
  </r>
  <r>
    <x v="40"/>
    <n v="0"/>
    <n v="0"/>
    <n v="0"/>
    <x v="1"/>
    <x v="2"/>
    <x v="1"/>
  </r>
  <r>
    <x v="41"/>
    <n v="0"/>
    <n v="0"/>
    <n v="0"/>
    <x v="1"/>
    <x v="2"/>
    <x v="1"/>
  </r>
  <r>
    <x v="42"/>
    <n v="0"/>
    <n v="0"/>
    <n v="0"/>
    <x v="1"/>
    <x v="2"/>
    <x v="1"/>
  </r>
  <r>
    <x v="43"/>
    <m/>
    <m/>
    <m/>
    <x v="2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84284-F1AF-4A22-A192-E9E31DDD927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30" firstHeaderRow="1" firstDataRow="4" firstDataCol="1"/>
  <pivotFields count="9">
    <pivotField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dataField="1" showAll="0"/>
    <pivotField showAll="0"/>
    <pivotField axis="axisCol" showAll="0" defaultSubtotal="0">
      <items count="3">
        <item x="0"/>
        <item x="1"/>
        <item x="2"/>
      </items>
    </pivotField>
    <pivotField axis="axisCol" showAll="0">
      <items count="5">
        <item x="0"/>
        <item x="1"/>
        <item x="2"/>
        <item x="3"/>
        <item t="default"/>
      </items>
    </pivotField>
    <pivotField axis="axisCol" showAll="0" defaultSubtotal="0">
      <items count="3">
        <item x="0"/>
        <item x="1"/>
        <item x="2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1">
    <field x="7"/>
  </rowFields>
  <rowItems count="24">
    <i>
      <x/>
    </i>
    <i>
      <x v="1"/>
    </i>
    <i>
      <x v="2"/>
    </i>
    <i>
      <x v="3"/>
    </i>
    <i>
      <x v="4"/>
    </i>
    <i>
      <x v="5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3">
    <field x="4"/>
    <field x="6"/>
    <field x="5"/>
  </colFields>
  <colItems count="14">
    <i>
      <x/>
      <x/>
      <x/>
    </i>
    <i r="2">
      <x v="1"/>
    </i>
    <i r="2">
      <x v="2"/>
    </i>
    <i r="1">
      <x v="1"/>
      <x/>
    </i>
    <i r="2">
      <x v="1"/>
    </i>
    <i r="2">
      <x v="2"/>
    </i>
    <i>
      <x v="1"/>
      <x/>
      <x/>
    </i>
    <i r="2">
      <x v="1"/>
    </i>
    <i r="2">
      <x v="2"/>
    </i>
    <i r="1">
      <x v="1"/>
      <x/>
    </i>
    <i r="2">
      <x v="1"/>
    </i>
    <i r="2">
      <x v="2"/>
    </i>
    <i>
      <x v="2"/>
      <x v="2"/>
      <x v="3"/>
    </i>
    <i t="grand">
      <x/>
    </i>
  </colItems>
  <dataFields count="1">
    <dataField name="Sum of Salen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D3297-633D-4C6B-8429-1BF21587F102}">
  <dimension ref="A1:AR21"/>
  <sheetViews>
    <sheetView zoomScale="140" zoomScaleNormal="115" workbookViewId="0">
      <selection activeCell="W18" sqref="W18"/>
    </sheetView>
  </sheetViews>
  <sheetFormatPr defaultRowHeight="14.5" x14ac:dyDescent="0.35"/>
  <cols>
    <col min="2" max="13" width="6.6328125" style="9" customWidth="1"/>
    <col min="14" max="14" width="3.08984375" style="9" customWidth="1"/>
    <col min="15" max="44" width="6.6328125" style="9" customWidth="1"/>
  </cols>
  <sheetData>
    <row r="1" spans="1:44" x14ac:dyDescent="0.35">
      <c r="B1" s="21" t="s">
        <v>49</v>
      </c>
    </row>
    <row r="2" spans="1:44" x14ac:dyDescent="0.35">
      <c r="A2" s="6"/>
      <c r="B2" s="11" t="s">
        <v>5</v>
      </c>
      <c r="C2" s="12"/>
      <c r="D2" s="12"/>
      <c r="E2" s="12"/>
      <c r="F2" s="12"/>
      <c r="G2" s="12"/>
      <c r="H2" s="7" t="s">
        <v>13</v>
      </c>
      <c r="I2" s="7"/>
      <c r="J2" s="7"/>
      <c r="K2" s="7"/>
      <c r="L2" s="7"/>
      <c r="M2" s="7"/>
      <c r="O2" s="11" t="s">
        <v>5</v>
      </c>
      <c r="P2" s="12"/>
      <c r="Q2" s="12"/>
      <c r="R2" s="12"/>
      <c r="S2" s="12"/>
      <c r="T2" s="12"/>
      <c r="U2" s="7" t="s">
        <v>13</v>
      </c>
      <c r="V2" s="7"/>
      <c r="W2" s="7"/>
      <c r="X2" s="7"/>
      <c r="Y2" s="7"/>
      <c r="Z2" s="7"/>
      <c r="AA2" s="16" t="s">
        <v>42</v>
      </c>
      <c r="AB2" s="16"/>
      <c r="AC2" s="16"/>
      <c r="AD2" s="16"/>
      <c r="AE2" s="16"/>
      <c r="AF2" s="16"/>
      <c r="AG2" s="16" t="s">
        <v>43</v>
      </c>
      <c r="AH2" s="16"/>
      <c r="AI2" s="16"/>
      <c r="AJ2" s="16"/>
      <c r="AK2" s="16"/>
      <c r="AL2" s="16"/>
      <c r="AM2" s="16" t="s">
        <v>44</v>
      </c>
      <c r="AN2" s="16"/>
      <c r="AO2" s="16"/>
      <c r="AP2" s="16"/>
      <c r="AQ2" s="16"/>
      <c r="AR2" s="16"/>
    </row>
    <row r="3" spans="1:44" x14ac:dyDescent="0.35">
      <c r="A3" s="6"/>
      <c r="B3" s="11" t="s">
        <v>9</v>
      </c>
      <c r="C3" s="12"/>
      <c r="D3" s="12"/>
      <c r="E3" s="11" t="s">
        <v>10</v>
      </c>
      <c r="F3" s="12"/>
      <c r="G3" s="12"/>
      <c r="H3" s="7" t="s">
        <v>9</v>
      </c>
      <c r="I3" s="7"/>
      <c r="J3" s="7"/>
      <c r="K3" s="7" t="s">
        <v>10</v>
      </c>
      <c r="L3" s="7"/>
      <c r="M3" s="7"/>
      <c r="O3" s="11" t="s">
        <v>9</v>
      </c>
      <c r="P3" s="12"/>
      <c r="Q3" s="12"/>
      <c r="R3" s="11" t="s">
        <v>10</v>
      </c>
      <c r="S3" s="12"/>
      <c r="T3" s="12"/>
      <c r="U3" s="7" t="s">
        <v>9</v>
      </c>
      <c r="V3" s="7"/>
      <c r="W3" s="7"/>
      <c r="X3" s="7" t="s">
        <v>10</v>
      </c>
      <c r="Y3" s="7"/>
      <c r="Z3" s="7"/>
      <c r="AA3" s="17" t="s">
        <v>9</v>
      </c>
      <c r="AB3" s="18"/>
      <c r="AC3" s="18"/>
      <c r="AD3" s="17" t="s">
        <v>10</v>
      </c>
      <c r="AE3" s="18"/>
      <c r="AF3" s="18"/>
      <c r="AG3" s="16" t="s">
        <v>9</v>
      </c>
      <c r="AH3" s="16"/>
      <c r="AI3" s="16"/>
      <c r="AJ3" s="16" t="s">
        <v>10</v>
      </c>
      <c r="AK3" s="16"/>
      <c r="AL3" s="16"/>
      <c r="AM3" s="16" t="s">
        <v>9</v>
      </c>
      <c r="AN3" s="16"/>
      <c r="AO3" s="16"/>
      <c r="AP3" s="16" t="s">
        <v>10</v>
      </c>
      <c r="AQ3" s="16"/>
      <c r="AR3" s="16"/>
    </row>
    <row r="4" spans="1:44" x14ac:dyDescent="0.35">
      <c r="A4" s="8" t="s">
        <v>3</v>
      </c>
      <c r="B4" s="15" t="s">
        <v>45</v>
      </c>
      <c r="C4" s="15" t="s">
        <v>46</v>
      </c>
      <c r="D4" s="15" t="s">
        <v>47</v>
      </c>
      <c r="E4" s="15" t="s">
        <v>45</v>
      </c>
      <c r="F4" s="15" t="s">
        <v>46</v>
      </c>
      <c r="G4" s="15" t="s">
        <v>47</v>
      </c>
      <c r="H4" s="15" t="s">
        <v>45</v>
      </c>
      <c r="I4" s="15" t="s">
        <v>46</v>
      </c>
      <c r="J4" s="15" t="s">
        <v>47</v>
      </c>
      <c r="K4" s="15" t="s">
        <v>45</v>
      </c>
      <c r="L4" s="15" t="s">
        <v>46</v>
      </c>
      <c r="M4" s="15" t="s">
        <v>47</v>
      </c>
      <c r="O4" s="15" t="s">
        <v>45</v>
      </c>
      <c r="P4" s="15" t="s">
        <v>46</v>
      </c>
      <c r="Q4" s="15" t="s">
        <v>47</v>
      </c>
      <c r="R4" s="15" t="s">
        <v>45</v>
      </c>
      <c r="S4" s="15" t="s">
        <v>46</v>
      </c>
      <c r="T4" s="15" t="s">
        <v>47</v>
      </c>
      <c r="U4" s="15" t="s">
        <v>45</v>
      </c>
      <c r="V4" s="15" t="s">
        <v>46</v>
      </c>
      <c r="W4" s="15" t="s">
        <v>47</v>
      </c>
      <c r="X4" s="15" t="s">
        <v>45</v>
      </c>
      <c r="Y4" s="15" t="s">
        <v>46</v>
      </c>
      <c r="Z4" s="15" t="s">
        <v>47</v>
      </c>
      <c r="AA4" s="19" t="s">
        <v>45</v>
      </c>
      <c r="AB4" s="19" t="s">
        <v>46</v>
      </c>
      <c r="AC4" s="19" t="s">
        <v>47</v>
      </c>
      <c r="AD4" s="19" t="s">
        <v>45</v>
      </c>
      <c r="AE4" s="19" t="s">
        <v>46</v>
      </c>
      <c r="AF4" s="19" t="s">
        <v>47</v>
      </c>
      <c r="AG4" s="19" t="s">
        <v>45</v>
      </c>
      <c r="AH4" s="19" t="s">
        <v>46</v>
      </c>
      <c r="AI4" s="19" t="s">
        <v>47</v>
      </c>
      <c r="AJ4" s="19" t="s">
        <v>45</v>
      </c>
      <c r="AK4" s="19" t="s">
        <v>46</v>
      </c>
      <c r="AL4" s="19" t="s">
        <v>47</v>
      </c>
      <c r="AM4" s="19" t="s">
        <v>45</v>
      </c>
      <c r="AN4" s="19" t="s">
        <v>46</v>
      </c>
      <c r="AO4" s="19" t="s">
        <v>47</v>
      </c>
      <c r="AP4" s="19" t="s">
        <v>45</v>
      </c>
      <c r="AQ4" s="19" t="s">
        <v>46</v>
      </c>
      <c r="AR4" s="19" t="s">
        <v>47</v>
      </c>
    </row>
    <row r="5" spans="1:44" x14ac:dyDescent="0.35">
      <c r="A5" s="9" t="s">
        <v>24</v>
      </c>
      <c r="B5" s="10">
        <v>0</v>
      </c>
      <c r="C5" s="10">
        <v>4</v>
      </c>
      <c r="D5" s="10">
        <v>1</v>
      </c>
      <c r="E5" s="10">
        <v>0</v>
      </c>
      <c r="F5" s="10">
        <v>6</v>
      </c>
      <c r="G5" s="10">
        <v>0</v>
      </c>
      <c r="H5" s="10">
        <v>0</v>
      </c>
      <c r="I5" s="10">
        <v>8</v>
      </c>
      <c r="J5" s="10">
        <v>9</v>
      </c>
      <c r="K5" s="10">
        <v>0</v>
      </c>
      <c r="L5" s="10">
        <v>1</v>
      </c>
      <c r="M5" s="10">
        <v>3</v>
      </c>
      <c r="O5" s="14" t="e">
        <f t="shared" ref="O5:Z20" si="0">B5/B4</f>
        <v>#VALUE!</v>
      </c>
      <c r="P5" s="14" t="e">
        <f t="shared" si="0"/>
        <v>#VALUE!</v>
      </c>
      <c r="Q5" s="14" t="e">
        <f t="shared" si="0"/>
        <v>#VALUE!</v>
      </c>
      <c r="R5" s="14" t="e">
        <f t="shared" si="0"/>
        <v>#VALUE!</v>
      </c>
      <c r="S5" s="14" t="e">
        <f t="shared" si="0"/>
        <v>#VALUE!</v>
      </c>
      <c r="T5" s="14" t="e">
        <f t="shared" si="0"/>
        <v>#VALUE!</v>
      </c>
      <c r="U5" s="14" t="e">
        <f t="shared" si="0"/>
        <v>#VALUE!</v>
      </c>
      <c r="V5" s="14" t="e">
        <f t="shared" si="0"/>
        <v>#VALUE!</v>
      </c>
      <c r="W5" s="14" t="e">
        <f t="shared" si="0"/>
        <v>#VALUE!</v>
      </c>
      <c r="X5" s="14" t="e">
        <f t="shared" si="0"/>
        <v>#VALUE!</v>
      </c>
      <c r="Y5" s="14" t="e">
        <f t="shared" si="0"/>
        <v>#VALUE!</v>
      </c>
      <c r="Z5" s="14" t="e">
        <f t="shared" si="0"/>
        <v>#VALUE!</v>
      </c>
      <c r="AA5" s="13" t="e">
        <f>U5</f>
        <v>#VALUE!</v>
      </c>
      <c r="AB5" s="13" t="e">
        <f t="shared" ref="AB5:AF20" si="1">V5</f>
        <v>#VALUE!</v>
      </c>
      <c r="AC5" s="13" t="e">
        <f t="shared" si="1"/>
        <v>#VALUE!</v>
      </c>
      <c r="AD5" s="13" t="e">
        <f t="shared" si="1"/>
        <v>#VALUE!</v>
      </c>
      <c r="AE5" s="13" t="e">
        <f t="shared" si="1"/>
        <v>#VALUE!</v>
      </c>
      <c r="AF5" s="13" t="e">
        <f t="shared" si="1"/>
        <v>#VALUE!</v>
      </c>
      <c r="AG5" s="13" t="e">
        <f>O5</f>
        <v>#VALUE!</v>
      </c>
      <c r="AH5" s="13" t="e">
        <f t="shared" ref="AH5:AM20" si="2">P5</f>
        <v>#VALUE!</v>
      </c>
      <c r="AI5" s="13" t="e">
        <f t="shared" si="2"/>
        <v>#VALUE!</v>
      </c>
      <c r="AJ5" s="13" t="e">
        <f t="shared" si="2"/>
        <v>#VALUE!</v>
      </c>
      <c r="AK5" s="13" t="e">
        <f t="shared" si="2"/>
        <v>#VALUE!</v>
      </c>
      <c r="AL5" s="13" t="e">
        <f t="shared" si="2"/>
        <v>#VALUE!</v>
      </c>
      <c r="AM5" s="13" t="e">
        <f>U5</f>
        <v>#VALUE!</v>
      </c>
      <c r="AN5" s="13" t="e">
        <f t="shared" ref="AN5:AR20" si="3">V5</f>
        <v>#VALUE!</v>
      </c>
      <c r="AO5" s="13" t="e">
        <f t="shared" si="3"/>
        <v>#VALUE!</v>
      </c>
      <c r="AP5" s="13" t="e">
        <f t="shared" si="3"/>
        <v>#VALUE!</v>
      </c>
      <c r="AQ5" s="13" t="e">
        <f t="shared" si="3"/>
        <v>#VALUE!</v>
      </c>
      <c r="AR5" s="13" t="e">
        <f t="shared" si="3"/>
        <v>#VALUE!</v>
      </c>
    </row>
    <row r="6" spans="1:44" x14ac:dyDescent="0.35">
      <c r="A6" s="9" t="s">
        <v>25</v>
      </c>
      <c r="B6" s="10">
        <v>0</v>
      </c>
      <c r="C6" s="10">
        <v>59</v>
      </c>
      <c r="D6" s="10">
        <v>65</v>
      </c>
      <c r="E6" s="10">
        <v>0</v>
      </c>
      <c r="F6" s="10">
        <v>12</v>
      </c>
      <c r="G6" s="10">
        <v>33</v>
      </c>
      <c r="H6" s="10">
        <v>4</v>
      </c>
      <c r="I6" s="10">
        <v>20</v>
      </c>
      <c r="J6" s="10">
        <v>25</v>
      </c>
      <c r="K6" s="10">
        <v>4</v>
      </c>
      <c r="L6" s="10">
        <v>5</v>
      </c>
      <c r="M6" s="10">
        <v>11</v>
      </c>
      <c r="O6" s="14" t="e">
        <f t="shared" si="0"/>
        <v>#DIV/0!</v>
      </c>
      <c r="P6" s="14">
        <f t="shared" si="0"/>
        <v>14.75</v>
      </c>
      <c r="Q6" s="14">
        <f t="shared" si="0"/>
        <v>65</v>
      </c>
      <c r="R6" s="14" t="e">
        <f t="shared" si="0"/>
        <v>#DIV/0!</v>
      </c>
      <c r="S6" s="14">
        <f t="shared" si="0"/>
        <v>2</v>
      </c>
      <c r="T6" s="14" t="e">
        <f t="shared" si="0"/>
        <v>#DIV/0!</v>
      </c>
      <c r="U6" s="14" t="e">
        <f t="shared" si="0"/>
        <v>#DIV/0!</v>
      </c>
      <c r="V6" s="14">
        <f t="shared" si="0"/>
        <v>2.5</v>
      </c>
      <c r="W6" s="14">
        <f t="shared" si="0"/>
        <v>2.7777777777777777</v>
      </c>
      <c r="X6" s="14" t="e">
        <f t="shared" si="0"/>
        <v>#DIV/0!</v>
      </c>
      <c r="Y6" s="14">
        <f t="shared" si="0"/>
        <v>5</v>
      </c>
      <c r="Z6" s="14">
        <f t="shared" si="0"/>
        <v>3.6666666666666665</v>
      </c>
      <c r="AA6" s="13" t="e">
        <f t="shared" ref="AA6:AF21" si="4">U6</f>
        <v>#DIV/0!</v>
      </c>
      <c r="AB6" s="13">
        <f t="shared" si="1"/>
        <v>2.5</v>
      </c>
      <c r="AC6" s="13">
        <f t="shared" si="1"/>
        <v>2.7777777777777777</v>
      </c>
      <c r="AD6" s="13" t="e">
        <f t="shared" si="1"/>
        <v>#DIV/0!</v>
      </c>
      <c r="AE6" s="13">
        <f t="shared" si="1"/>
        <v>5</v>
      </c>
      <c r="AF6" s="13">
        <f t="shared" si="1"/>
        <v>3.6666666666666665</v>
      </c>
      <c r="AG6" s="13" t="e">
        <f t="shared" ref="AG6:AR21" si="5">O6</f>
        <v>#DIV/0!</v>
      </c>
      <c r="AH6" s="13">
        <f t="shared" si="2"/>
        <v>14.75</v>
      </c>
      <c r="AI6" s="13">
        <f t="shared" si="2"/>
        <v>65</v>
      </c>
      <c r="AJ6" s="13" t="e">
        <f t="shared" si="2"/>
        <v>#DIV/0!</v>
      </c>
      <c r="AK6" s="13">
        <f t="shared" si="2"/>
        <v>2</v>
      </c>
      <c r="AL6" s="13" t="e">
        <f t="shared" si="2"/>
        <v>#DIV/0!</v>
      </c>
      <c r="AM6" s="13" t="e">
        <f t="shared" si="2"/>
        <v>#DIV/0!</v>
      </c>
      <c r="AN6" s="13">
        <f t="shared" si="3"/>
        <v>2.5</v>
      </c>
      <c r="AO6" s="13">
        <f t="shared" si="3"/>
        <v>2.7777777777777777</v>
      </c>
      <c r="AP6" s="13" t="e">
        <f t="shared" si="3"/>
        <v>#DIV/0!</v>
      </c>
      <c r="AQ6" s="13">
        <f t="shared" si="3"/>
        <v>5</v>
      </c>
      <c r="AR6" s="13">
        <f t="shared" si="3"/>
        <v>3.6666666666666665</v>
      </c>
    </row>
    <row r="7" spans="1:44" x14ac:dyDescent="0.35">
      <c r="A7" s="9" t="s">
        <v>26</v>
      </c>
      <c r="B7" s="10">
        <v>17</v>
      </c>
      <c r="C7" s="10">
        <v>188</v>
      </c>
      <c r="D7" s="10">
        <v>131</v>
      </c>
      <c r="E7" s="10">
        <v>6</v>
      </c>
      <c r="F7" s="10">
        <v>9</v>
      </c>
      <c r="G7" s="10">
        <v>29</v>
      </c>
      <c r="H7" s="10">
        <v>21</v>
      </c>
      <c r="I7" s="10">
        <v>35</v>
      </c>
      <c r="J7" s="10">
        <v>45</v>
      </c>
      <c r="K7" s="10">
        <v>3</v>
      </c>
      <c r="L7" s="10">
        <v>8</v>
      </c>
      <c r="M7" s="10">
        <v>10</v>
      </c>
      <c r="O7" s="14" t="e">
        <f t="shared" si="0"/>
        <v>#DIV/0!</v>
      </c>
      <c r="P7" s="14">
        <f t="shared" si="0"/>
        <v>3.1864406779661016</v>
      </c>
      <c r="Q7" s="14">
        <f t="shared" si="0"/>
        <v>2.0153846153846153</v>
      </c>
      <c r="R7" s="14" t="e">
        <f t="shared" si="0"/>
        <v>#DIV/0!</v>
      </c>
      <c r="S7" s="14">
        <f t="shared" si="0"/>
        <v>0.75</v>
      </c>
      <c r="T7" s="14">
        <f t="shared" si="0"/>
        <v>0.87878787878787878</v>
      </c>
      <c r="U7" s="14">
        <f t="shared" si="0"/>
        <v>5.25</v>
      </c>
      <c r="V7" s="14">
        <f t="shared" si="0"/>
        <v>1.75</v>
      </c>
      <c r="W7" s="14">
        <f t="shared" si="0"/>
        <v>1.8</v>
      </c>
      <c r="X7" s="14">
        <f t="shared" si="0"/>
        <v>0.75</v>
      </c>
      <c r="Y7" s="14">
        <f t="shared" si="0"/>
        <v>1.6</v>
      </c>
      <c r="Z7" s="14">
        <f t="shared" si="0"/>
        <v>0.90909090909090906</v>
      </c>
      <c r="AA7" s="13">
        <f t="shared" si="4"/>
        <v>5.25</v>
      </c>
      <c r="AB7" s="13">
        <f t="shared" si="1"/>
        <v>1.75</v>
      </c>
      <c r="AC7" s="13">
        <f t="shared" si="1"/>
        <v>1.8</v>
      </c>
      <c r="AD7" s="13">
        <f t="shared" si="1"/>
        <v>0.75</v>
      </c>
      <c r="AE7" s="13">
        <f t="shared" si="1"/>
        <v>1.6</v>
      </c>
      <c r="AF7" s="13">
        <f t="shared" si="1"/>
        <v>0.90909090909090906</v>
      </c>
      <c r="AG7" s="13" t="e">
        <f t="shared" si="5"/>
        <v>#DIV/0!</v>
      </c>
      <c r="AH7" s="13">
        <f t="shared" si="2"/>
        <v>3.1864406779661016</v>
      </c>
      <c r="AI7" s="13">
        <f t="shared" si="2"/>
        <v>2.0153846153846153</v>
      </c>
      <c r="AJ7" s="13" t="e">
        <f t="shared" si="2"/>
        <v>#DIV/0!</v>
      </c>
      <c r="AK7" s="13">
        <f t="shared" si="2"/>
        <v>0.75</v>
      </c>
      <c r="AL7" s="13">
        <f t="shared" si="2"/>
        <v>0.87878787878787878</v>
      </c>
      <c r="AM7" s="13">
        <f t="shared" si="2"/>
        <v>5.25</v>
      </c>
      <c r="AN7" s="13">
        <f t="shared" si="3"/>
        <v>1.75</v>
      </c>
      <c r="AO7" s="13">
        <f t="shared" si="3"/>
        <v>1.8</v>
      </c>
      <c r="AP7" s="13">
        <f t="shared" si="3"/>
        <v>0.75</v>
      </c>
      <c r="AQ7" s="13">
        <f t="shared" si="3"/>
        <v>1.6</v>
      </c>
      <c r="AR7" s="13">
        <f t="shared" si="3"/>
        <v>0.90909090909090906</v>
      </c>
    </row>
    <row r="8" spans="1:44" x14ac:dyDescent="0.35">
      <c r="A8" s="9" t="s">
        <v>27</v>
      </c>
      <c r="B8" s="10">
        <v>46</v>
      </c>
      <c r="C8" s="10">
        <v>191</v>
      </c>
      <c r="D8" s="10">
        <v>168</v>
      </c>
      <c r="E8" s="10">
        <v>14</v>
      </c>
      <c r="F8" s="10">
        <v>19</v>
      </c>
      <c r="G8" s="10">
        <v>24</v>
      </c>
      <c r="H8" s="10">
        <v>24</v>
      </c>
      <c r="I8" s="10">
        <v>54</v>
      </c>
      <c r="J8" s="10">
        <v>46</v>
      </c>
      <c r="K8" s="10">
        <v>5</v>
      </c>
      <c r="L8" s="10">
        <v>9</v>
      </c>
      <c r="M8" s="10">
        <v>17</v>
      </c>
      <c r="O8" s="14">
        <f t="shared" si="0"/>
        <v>2.7058823529411766</v>
      </c>
      <c r="P8" s="14">
        <f t="shared" si="0"/>
        <v>1.0159574468085106</v>
      </c>
      <c r="Q8" s="14">
        <f t="shared" si="0"/>
        <v>1.282442748091603</v>
      </c>
      <c r="R8" s="14">
        <f t="shared" si="0"/>
        <v>2.3333333333333335</v>
      </c>
      <c r="S8" s="14">
        <f t="shared" si="0"/>
        <v>2.1111111111111112</v>
      </c>
      <c r="T8" s="14">
        <f t="shared" si="0"/>
        <v>0.82758620689655171</v>
      </c>
      <c r="U8" s="14">
        <f t="shared" si="0"/>
        <v>1.1428571428571428</v>
      </c>
      <c r="V8" s="14">
        <f t="shared" si="0"/>
        <v>1.5428571428571429</v>
      </c>
      <c r="W8" s="14">
        <f t="shared" si="0"/>
        <v>1.0222222222222221</v>
      </c>
      <c r="X8" s="14">
        <f t="shared" si="0"/>
        <v>1.6666666666666667</v>
      </c>
      <c r="Y8" s="14">
        <f t="shared" si="0"/>
        <v>1.125</v>
      </c>
      <c r="Z8" s="14">
        <f t="shared" si="0"/>
        <v>1.7</v>
      </c>
      <c r="AA8" s="13">
        <f t="shared" si="4"/>
        <v>1.1428571428571428</v>
      </c>
      <c r="AB8" s="13">
        <f t="shared" si="1"/>
        <v>1.5428571428571429</v>
      </c>
      <c r="AC8" s="13">
        <f t="shared" si="1"/>
        <v>1.0222222222222221</v>
      </c>
      <c r="AD8" s="13">
        <f t="shared" si="1"/>
        <v>1.6666666666666667</v>
      </c>
      <c r="AE8" s="13">
        <f t="shared" si="1"/>
        <v>1.125</v>
      </c>
      <c r="AF8" s="13">
        <f t="shared" si="1"/>
        <v>1.7</v>
      </c>
      <c r="AG8" s="13">
        <f t="shared" si="5"/>
        <v>2.7058823529411766</v>
      </c>
      <c r="AH8" s="13">
        <f t="shared" si="2"/>
        <v>1.0159574468085106</v>
      </c>
      <c r="AI8" s="13">
        <f t="shared" si="2"/>
        <v>1.282442748091603</v>
      </c>
      <c r="AJ8" s="13">
        <f t="shared" si="2"/>
        <v>2.3333333333333335</v>
      </c>
      <c r="AK8" s="13">
        <f t="shared" si="2"/>
        <v>2.1111111111111112</v>
      </c>
      <c r="AL8" s="13">
        <f t="shared" si="2"/>
        <v>0.82758620689655171</v>
      </c>
      <c r="AM8" s="13">
        <f t="shared" si="2"/>
        <v>1.1428571428571428</v>
      </c>
      <c r="AN8" s="13">
        <f t="shared" si="3"/>
        <v>1.5428571428571429</v>
      </c>
      <c r="AO8" s="13">
        <f t="shared" si="3"/>
        <v>1.0222222222222221</v>
      </c>
      <c r="AP8" s="13">
        <f t="shared" si="3"/>
        <v>1.6666666666666667</v>
      </c>
      <c r="AQ8" s="13">
        <f t="shared" si="3"/>
        <v>1.125</v>
      </c>
      <c r="AR8" s="13">
        <f t="shared" si="3"/>
        <v>1.7</v>
      </c>
    </row>
    <row r="9" spans="1:44" x14ac:dyDescent="0.35">
      <c r="A9" s="9" t="s">
        <v>28</v>
      </c>
      <c r="B9" s="10">
        <v>53</v>
      </c>
      <c r="C9" s="10">
        <v>206</v>
      </c>
      <c r="D9" s="10">
        <v>259</v>
      </c>
      <c r="E9" s="10">
        <v>21</v>
      </c>
      <c r="F9" s="10">
        <v>22</v>
      </c>
      <c r="G9" s="10">
        <v>23</v>
      </c>
      <c r="H9" s="10">
        <v>40</v>
      </c>
      <c r="I9" s="10">
        <v>44</v>
      </c>
      <c r="J9" s="10">
        <v>56</v>
      </c>
      <c r="K9" s="10">
        <v>9</v>
      </c>
      <c r="L9" s="10">
        <v>23</v>
      </c>
      <c r="M9" s="10">
        <v>10</v>
      </c>
      <c r="O9" s="14">
        <f>B9/B8</f>
        <v>1.1521739130434783</v>
      </c>
      <c r="P9" s="14">
        <f t="shared" si="0"/>
        <v>1.0785340314136125</v>
      </c>
      <c r="Q9" s="14">
        <f t="shared" si="0"/>
        <v>1.5416666666666667</v>
      </c>
      <c r="R9" s="14">
        <f t="shared" si="0"/>
        <v>1.5</v>
      </c>
      <c r="S9" s="14">
        <f t="shared" si="0"/>
        <v>1.1578947368421053</v>
      </c>
      <c r="T9" s="14">
        <f t="shared" si="0"/>
        <v>0.95833333333333337</v>
      </c>
      <c r="U9" s="14">
        <f t="shared" si="0"/>
        <v>1.6666666666666667</v>
      </c>
      <c r="V9" s="14">
        <f t="shared" si="0"/>
        <v>0.81481481481481477</v>
      </c>
      <c r="W9" s="14">
        <f t="shared" si="0"/>
        <v>1.2173913043478262</v>
      </c>
      <c r="X9" s="14">
        <f t="shared" si="0"/>
        <v>1.8</v>
      </c>
      <c r="Y9" s="14">
        <f t="shared" si="0"/>
        <v>2.5555555555555554</v>
      </c>
      <c r="Z9" s="14">
        <f t="shared" si="0"/>
        <v>0.58823529411764708</v>
      </c>
      <c r="AA9" s="13">
        <f t="shared" si="4"/>
        <v>1.6666666666666667</v>
      </c>
      <c r="AB9" s="13">
        <f t="shared" si="1"/>
        <v>0.81481481481481477</v>
      </c>
      <c r="AC9" s="13">
        <f t="shared" si="1"/>
        <v>1.2173913043478262</v>
      </c>
      <c r="AD9" s="13">
        <f t="shared" si="1"/>
        <v>1.8</v>
      </c>
      <c r="AE9" s="13">
        <f t="shared" si="1"/>
        <v>2.5555555555555554</v>
      </c>
      <c r="AF9" s="13">
        <f t="shared" si="1"/>
        <v>0.58823529411764708</v>
      </c>
      <c r="AG9" s="13">
        <f t="shared" si="5"/>
        <v>1.1521739130434783</v>
      </c>
      <c r="AH9" s="13">
        <f t="shared" si="2"/>
        <v>1.0785340314136125</v>
      </c>
      <c r="AI9" s="13">
        <f t="shared" si="2"/>
        <v>1.5416666666666667</v>
      </c>
      <c r="AJ9" s="13">
        <f t="shared" si="2"/>
        <v>1.5</v>
      </c>
      <c r="AK9" s="13">
        <f t="shared" si="2"/>
        <v>1.1578947368421053</v>
      </c>
      <c r="AL9" s="13">
        <f t="shared" si="2"/>
        <v>0.95833333333333337</v>
      </c>
      <c r="AM9" s="13">
        <f t="shared" si="2"/>
        <v>1.6666666666666667</v>
      </c>
      <c r="AN9" s="13">
        <f t="shared" si="3"/>
        <v>0.81481481481481477</v>
      </c>
      <c r="AO9" s="13">
        <f t="shared" si="3"/>
        <v>1.2173913043478262</v>
      </c>
      <c r="AP9" s="13">
        <f t="shared" si="3"/>
        <v>1.8</v>
      </c>
      <c r="AQ9" s="13">
        <f t="shared" si="3"/>
        <v>2.5555555555555554</v>
      </c>
      <c r="AR9" s="13">
        <f t="shared" si="3"/>
        <v>0.58823529411764708</v>
      </c>
    </row>
    <row r="10" spans="1:44" x14ac:dyDescent="0.35">
      <c r="A10" s="9" t="s">
        <v>29</v>
      </c>
      <c r="B10" s="10">
        <v>85</v>
      </c>
      <c r="C10" s="10">
        <v>270</v>
      </c>
      <c r="D10" s="10">
        <v>231</v>
      </c>
      <c r="E10" s="10">
        <v>18</v>
      </c>
      <c r="F10" s="10">
        <v>59</v>
      </c>
      <c r="G10" s="10">
        <v>26</v>
      </c>
      <c r="H10" s="10">
        <v>38</v>
      </c>
      <c r="I10" s="10">
        <v>86</v>
      </c>
      <c r="J10" s="10">
        <v>52</v>
      </c>
      <c r="K10" s="10">
        <v>7</v>
      </c>
      <c r="L10" s="10">
        <v>21</v>
      </c>
      <c r="M10" s="10">
        <v>16</v>
      </c>
      <c r="O10" s="14">
        <f t="shared" si="0"/>
        <v>1.6037735849056605</v>
      </c>
      <c r="P10" s="14">
        <f t="shared" si="0"/>
        <v>1.3106796116504855</v>
      </c>
      <c r="Q10" s="14">
        <f t="shared" si="0"/>
        <v>0.89189189189189189</v>
      </c>
      <c r="R10" s="14">
        <f t="shared" si="0"/>
        <v>0.8571428571428571</v>
      </c>
      <c r="S10" s="14">
        <f t="shared" si="0"/>
        <v>2.6818181818181817</v>
      </c>
      <c r="T10" s="14">
        <f t="shared" si="0"/>
        <v>1.1304347826086956</v>
      </c>
      <c r="U10" s="14">
        <f t="shared" si="0"/>
        <v>0.95</v>
      </c>
      <c r="V10" s="14">
        <f t="shared" si="0"/>
        <v>1.9545454545454546</v>
      </c>
      <c r="W10" s="14">
        <f t="shared" si="0"/>
        <v>0.9285714285714286</v>
      </c>
      <c r="X10" s="14">
        <f t="shared" si="0"/>
        <v>0.77777777777777779</v>
      </c>
      <c r="Y10" s="14">
        <f t="shared" si="0"/>
        <v>0.91304347826086951</v>
      </c>
      <c r="Z10" s="14">
        <f t="shared" si="0"/>
        <v>1.6</v>
      </c>
      <c r="AA10" s="13">
        <f t="shared" si="4"/>
        <v>0.95</v>
      </c>
      <c r="AB10" s="13">
        <f t="shared" si="1"/>
        <v>1.9545454545454546</v>
      </c>
      <c r="AC10" s="13">
        <f t="shared" si="1"/>
        <v>0.9285714285714286</v>
      </c>
      <c r="AD10" s="13">
        <f t="shared" si="1"/>
        <v>0.77777777777777779</v>
      </c>
      <c r="AE10" s="13">
        <f t="shared" si="1"/>
        <v>0.91304347826086951</v>
      </c>
      <c r="AF10" s="13">
        <f t="shared" si="1"/>
        <v>1.6</v>
      </c>
      <c r="AG10" s="13">
        <f t="shared" si="5"/>
        <v>1.6037735849056605</v>
      </c>
      <c r="AH10" s="13">
        <f t="shared" si="2"/>
        <v>1.3106796116504855</v>
      </c>
      <c r="AI10" s="13">
        <f t="shared" si="2"/>
        <v>0.89189189189189189</v>
      </c>
      <c r="AJ10" s="13">
        <f t="shared" si="2"/>
        <v>0.8571428571428571</v>
      </c>
      <c r="AK10" s="13">
        <f t="shared" si="2"/>
        <v>2.6818181818181817</v>
      </c>
      <c r="AL10" s="13">
        <f t="shared" si="2"/>
        <v>1.1304347826086956</v>
      </c>
      <c r="AM10" s="13">
        <f t="shared" si="2"/>
        <v>0.95</v>
      </c>
      <c r="AN10" s="13">
        <f t="shared" si="3"/>
        <v>1.9545454545454546</v>
      </c>
      <c r="AO10" s="13">
        <f t="shared" si="3"/>
        <v>0.9285714285714286</v>
      </c>
      <c r="AP10" s="13">
        <f t="shared" si="3"/>
        <v>0.77777777777777779</v>
      </c>
      <c r="AQ10" s="13">
        <f t="shared" si="3"/>
        <v>0.91304347826086951</v>
      </c>
      <c r="AR10" s="13">
        <f t="shared" si="3"/>
        <v>1.6</v>
      </c>
    </row>
    <row r="11" spans="1:44" x14ac:dyDescent="0.35">
      <c r="A11" s="9" t="s">
        <v>30</v>
      </c>
      <c r="B11" s="10">
        <v>88</v>
      </c>
      <c r="C11" s="10">
        <v>277</v>
      </c>
      <c r="D11" s="10">
        <v>204</v>
      </c>
      <c r="E11" s="10">
        <v>16</v>
      </c>
      <c r="F11" s="10">
        <v>39</v>
      </c>
      <c r="G11" s="10">
        <v>24</v>
      </c>
      <c r="H11" s="10">
        <v>60</v>
      </c>
      <c r="I11" s="10">
        <v>98</v>
      </c>
      <c r="J11" s="10">
        <v>100</v>
      </c>
      <c r="K11" s="10">
        <v>17</v>
      </c>
      <c r="L11" s="10">
        <v>58</v>
      </c>
      <c r="M11" s="10">
        <v>52</v>
      </c>
      <c r="O11" s="14">
        <f t="shared" si="0"/>
        <v>1.0352941176470589</v>
      </c>
      <c r="P11" s="14">
        <f t="shared" si="0"/>
        <v>1.0259259259259259</v>
      </c>
      <c r="Q11" s="14">
        <f t="shared" si="0"/>
        <v>0.88311688311688308</v>
      </c>
      <c r="R11" s="14">
        <f t="shared" si="0"/>
        <v>0.88888888888888884</v>
      </c>
      <c r="S11" s="14">
        <f t="shared" si="0"/>
        <v>0.66101694915254239</v>
      </c>
      <c r="T11" s="14">
        <f t="shared" si="0"/>
        <v>0.92307692307692313</v>
      </c>
      <c r="U11" s="14">
        <f t="shared" si="0"/>
        <v>1.5789473684210527</v>
      </c>
      <c r="V11" s="14">
        <f t="shared" si="0"/>
        <v>1.1395348837209303</v>
      </c>
      <c r="W11" s="14">
        <f t="shared" si="0"/>
        <v>1.9230769230769231</v>
      </c>
      <c r="X11" s="14">
        <f t="shared" si="0"/>
        <v>2.4285714285714284</v>
      </c>
      <c r="Y11" s="14">
        <f t="shared" si="0"/>
        <v>2.7619047619047619</v>
      </c>
      <c r="Z11" s="14">
        <f t="shared" si="0"/>
        <v>3.25</v>
      </c>
      <c r="AA11" s="13">
        <f t="shared" si="4"/>
        <v>1.5789473684210527</v>
      </c>
      <c r="AB11" s="13">
        <f t="shared" si="1"/>
        <v>1.1395348837209303</v>
      </c>
      <c r="AC11" s="13">
        <f t="shared" si="1"/>
        <v>1.9230769230769231</v>
      </c>
      <c r="AD11" s="13">
        <f t="shared" si="1"/>
        <v>2.4285714285714284</v>
      </c>
      <c r="AE11" s="13">
        <f t="shared" si="1"/>
        <v>2.7619047619047619</v>
      </c>
      <c r="AF11" s="13">
        <f t="shared" si="1"/>
        <v>3.25</v>
      </c>
      <c r="AG11" s="13">
        <f t="shared" si="5"/>
        <v>1.0352941176470589</v>
      </c>
      <c r="AH11" s="13">
        <f t="shared" si="2"/>
        <v>1.0259259259259259</v>
      </c>
      <c r="AI11" s="13">
        <f t="shared" si="2"/>
        <v>0.88311688311688308</v>
      </c>
      <c r="AJ11" s="13">
        <f t="shared" si="2"/>
        <v>0.88888888888888884</v>
      </c>
      <c r="AK11" s="13">
        <f t="shared" si="2"/>
        <v>0.66101694915254239</v>
      </c>
      <c r="AL11" s="13">
        <f t="shared" si="2"/>
        <v>0.92307692307692313</v>
      </c>
      <c r="AM11" s="13">
        <f t="shared" si="2"/>
        <v>1.5789473684210527</v>
      </c>
      <c r="AN11" s="13">
        <f t="shared" si="3"/>
        <v>1.1395348837209303</v>
      </c>
      <c r="AO11" s="13">
        <f t="shared" si="3"/>
        <v>1.9230769230769231</v>
      </c>
      <c r="AP11" s="13">
        <f t="shared" si="3"/>
        <v>2.4285714285714284</v>
      </c>
      <c r="AQ11" s="13">
        <f t="shared" si="3"/>
        <v>2.7619047619047619</v>
      </c>
      <c r="AR11" s="13">
        <f t="shared" si="3"/>
        <v>3.25</v>
      </c>
    </row>
    <row r="12" spans="1:44" x14ac:dyDescent="0.35">
      <c r="A12" s="9" t="s">
        <v>31</v>
      </c>
      <c r="B12" s="10">
        <v>90</v>
      </c>
      <c r="C12" s="10">
        <v>249</v>
      </c>
      <c r="D12" s="10">
        <v>369</v>
      </c>
      <c r="E12" s="10">
        <v>29</v>
      </c>
      <c r="F12" s="10">
        <v>14</v>
      </c>
      <c r="G12" s="10">
        <v>32</v>
      </c>
      <c r="H12" s="10">
        <v>84</v>
      </c>
      <c r="I12" s="10">
        <v>79</v>
      </c>
      <c r="J12" s="10">
        <v>65</v>
      </c>
      <c r="K12" s="10">
        <v>9</v>
      </c>
      <c r="L12" s="10">
        <v>13</v>
      </c>
      <c r="M12" s="10">
        <v>16</v>
      </c>
      <c r="O12" s="14">
        <f>B12/B11</f>
        <v>1.0227272727272727</v>
      </c>
      <c r="P12" s="14">
        <f t="shared" si="0"/>
        <v>0.89891696750902528</v>
      </c>
      <c r="Q12" s="14">
        <f t="shared" si="0"/>
        <v>1.8088235294117647</v>
      </c>
      <c r="R12" s="14">
        <f t="shared" si="0"/>
        <v>1.8125</v>
      </c>
      <c r="S12" s="14">
        <f t="shared" si="0"/>
        <v>0.35897435897435898</v>
      </c>
      <c r="T12" s="14">
        <f t="shared" si="0"/>
        <v>1.3333333333333333</v>
      </c>
      <c r="U12" s="14">
        <f t="shared" si="0"/>
        <v>1.4</v>
      </c>
      <c r="V12" s="14">
        <f t="shared" si="0"/>
        <v>0.80612244897959184</v>
      </c>
      <c r="W12" s="14">
        <f t="shared" si="0"/>
        <v>0.65</v>
      </c>
      <c r="X12" s="14">
        <f t="shared" si="0"/>
        <v>0.52941176470588236</v>
      </c>
      <c r="Y12" s="14">
        <f t="shared" si="0"/>
        <v>0.22413793103448276</v>
      </c>
      <c r="Z12" s="14">
        <f t="shared" si="0"/>
        <v>0.30769230769230771</v>
      </c>
      <c r="AA12" s="13">
        <f t="shared" si="4"/>
        <v>1.4</v>
      </c>
      <c r="AB12" s="13">
        <f t="shared" si="1"/>
        <v>0.80612244897959184</v>
      </c>
      <c r="AC12" s="13">
        <f t="shared" si="1"/>
        <v>0.65</v>
      </c>
      <c r="AD12" s="13">
        <f t="shared" si="1"/>
        <v>0.52941176470588236</v>
      </c>
      <c r="AE12" s="13">
        <f t="shared" si="1"/>
        <v>0.22413793103448276</v>
      </c>
      <c r="AF12" s="13">
        <f t="shared" si="1"/>
        <v>0.30769230769230771</v>
      </c>
      <c r="AG12" s="13">
        <f t="shared" si="5"/>
        <v>1.0227272727272727</v>
      </c>
      <c r="AH12" s="13">
        <f t="shared" si="2"/>
        <v>0.89891696750902528</v>
      </c>
      <c r="AI12" s="13">
        <f t="shared" si="2"/>
        <v>1.8088235294117647</v>
      </c>
      <c r="AJ12" s="13">
        <f t="shared" si="2"/>
        <v>1.8125</v>
      </c>
      <c r="AK12" s="13">
        <f t="shared" si="2"/>
        <v>0.35897435897435898</v>
      </c>
      <c r="AL12" s="13">
        <f t="shared" si="2"/>
        <v>1.3333333333333333</v>
      </c>
      <c r="AM12" s="13">
        <f t="shared" si="2"/>
        <v>1.4</v>
      </c>
      <c r="AN12" s="13">
        <f t="shared" si="3"/>
        <v>0.80612244897959184</v>
      </c>
      <c r="AO12" s="13">
        <f t="shared" si="3"/>
        <v>0.65</v>
      </c>
      <c r="AP12" s="13">
        <f t="shared" si="3"/>
        <v>0.52941176470588236</v>
      </c>
      <c r="AQ12" s="13">
        <f t="shared" si="3"/>
        <v>0.22413793103448276</v>
      </c>
      <c r="AR12" s="13">
        <f t="shared" si="3"/>
        <v>0.30769230769230771</v>
      </c>
    </row>
    <row r="13" spans="1:44" x14ac:dyDescent="0.35">
      <c r="A13" s="9" t="s">
        <v>32</v>
      </c>
      <c r="B13" s="10">
        <v>102</v>
      </c>
      <c r="C13" s="10">
        <v>235</v>
      </c>
      <c r="D13" s="10">
        <v>297</v>
      </c>
      <c r="E13" s="10">
        <v>24</v>
      </c>
      <c r="F13" s="10">
        <v>30</v>
      </c>
      <c r="G13" s="10">
        <v>41</v>
      </c>
      <c r="H13" s="10">
        <v>64</v>
      </c>
      <c r="I13" s="10">
        <v>106</v>
      </c>
      <c r="J13" s="10">
        <v>71</v>
      </c>
      <c r="K13" s="10">
        <v>18</v>
      </c>
      <c r="L13" s="10">
        <v>29</v>
      </c>
      <c r="M13" s="10">
        <v>32</v>
      </c>
      <c r="O13" s="14">
        <f t="shared" si="0"/>
        <v>1.1333333333333333</v>
      </c>
      <c r="P13" s="14">
        <f>C13/C12</f>
        <v>0.94377510040160639</v>
      </c>
      <c r="Q13" s="14">
        <f t="shared" si="0"/>
        <v>0.80487804878048785</v>
      </c>
      <c r="R13" s="14">
        <f t="shared" si="0"/>
        <v>0.82758620689655171</v>
      </c>
      <c r="S13" s="14">
        <f t="shared" si="0"/>
        <v>2.1428571428571428</v>
      </c>
      <c r="T13" s="14">
        <f t="shared" si="0"/>
        <v>1.28125</v>
      </c>
      <c r="U13" s="14">
        <f t="shared" si="0"/>
        <v>0.76190476190476186</v>
      </c>
      <c r="V13" s="14">
        <f t="shared" si="0"/>
        <v>1.3417721518987342</v>
      </c>
      <c r="W13" s="14">
        <f t="shared" si="0"/>
        <v>1.0923076923076922</v>
      </c>
      <c r="X13" s="14">
        <f t="shared" si="0"/>
        <v>2</v>
      </c>
      <c r="Y13" s="14">
        <f t="shared" si="0"/>
        <v>2.2307692307692308</v>
      </c>
      <c r="Z13" s="14">
        <f t="shared" si="0"/>
        <v>2</v>
      </c>
      <c r="AA13" s="13">
        <f t="shared" si="4"/>
        <v>0.76190476190476186</v>
      </c>
      <c r="AB13" s="13">
        <f t="shared" si="1"/>
        <v>1.3417721518987342</v>
      </c>
      <c r="AC13" s="13">
        <f t="shared" si="1"/>
        <v>1.0923076923076922</v>
      </c>
      <c r="AD13" s="13">
        <f t="shared" si="1"/>
        <v>2</v>
      </c>
      <c r="AE13" s="13">
        <f t="shared" si="1"/>
        <v>2.2307692307692308</v>
      </c>
      <c r="AF13" s="13">
        <f t="shared" si="1"/>
        <v>2</v>
      </c>
      <c r="AG13" s="13">
        <f t="shared" si="5"/>
        <v>1.1333333333333333</v>
      </c>
      <c r="AH13" s="13">
        <f t="shared" si="2"/>
        <v>0.94377510040160639</v>
      </c>
      <c r="AI13" s="13">
        <f t="shared" si="2"/>
        <v>0.80487804878048785</v>
      </c>
      <c r="AJ13" s="13">
        <f t="shared" si="2"/>
        <v>0.82758620689655171</v>
      </c>
      <c r="AK13" s="13">
        <f t="shared" si="2"/>
        <v>2.1428571428571428</v>
      </c>
      <c r="AL13" s="13">
        <f t="shared" si="2"/>
        <v>1.28125</v>
      </c>
      <c r="AM13" s="13">
        <f t="shared" si="2"/>
        <v>0.76190476190476186</v>
      </c>
      <c r="AN13" s="13">
        <f t="shared" si="3"/>
        <v>1.3417721518987342</v>
      </c>
      <c r="AO13" s="13">
        <f t="shared" si="3"/>
        <v>1.0923076923076922</v>
      </c>
      <c r="AP13" s="13">
        <f t="shared" si="3"/>
        <v>2</v>
      </c>
      <c r="AQ13" s="13">
        <f t="shared" si="3"/>
        <v>2.2307692307692308</v>
      </c>
      <c r="AR13" s="13">
        <f t="shared" si="3"/>
        <v>2</v>
      </c>
    </row>
    <row r="14" spans="1:44" x14ac:dyDescent="0.35">
      <c r="A14" s="9" t="s">
        <v>33</v>
      </c>
      <c r="B14" s="10">
        <v>106</v>
      </c>
      <c r="C14" s="10">
        <v>285</v>
      </c>
      <c r="D14" s="10">
        <v>313</v>
      </c>
      <c r="E14" s="10">
        <v>33</v>
      </c>
      <c r="F14" s="10">
        <v>58</v>
      </c>
      <c r="G14" s="10">
        <v>65</v>
      </c>
      <c r="H14" s="10">
        <v>81</v>
      </c>
      <c r="I14" s="10">
        <v>113</v>
      </c>
      <c r="J14" s="10">
        <v>77</v>
      </c>
      <c r="K14" s="10">
        <v>32</v>
      </c>
      <c r="L14" s="10">
        <v>44</v>
      </c>
      <c r="M14" s="10">
        <v>23</v>
      </c>
      <c r="O14" s="14">
        <f t="shared" si="0"/>
        <v>1.0392156862745099</v>
      </c>
      <c r="P14" s="14">
        <f t="shared" si="0"/>
        <v>1.2127659574468086</v>
      </c>
      <c r="Q14" s="14">
        <f t="shared" si="0"/>
        <v>1.0538720538720538</v>
      </c>
      <c r="R14" s="14">
        <f t="shared" si="0"/>
        <v>1.375</v>
      </c>
      <c r="S14" s="14">
        <f t="shared" si="0"/>
        <v>1.9333333333333333</v>
      </c>
      <c r="T14" s="14">
        <f t="shared" si="0"/>
        <v>1.5853658536585367</v>
      </c>
      <c r="U14" s="14">
        <f t="shared" si="0"/>
        <v>1.265625</v>
      </c>
      <c r="V14" s="14">
        <f t="shared" si="0"/>
        <v>1.0660377358490567</v>
      </c>
      <c r="W14" s="14">
        <f t="shared" si="0"/>
        <v>1.0845070422535212</v>
      </c>
      <c r="X14" s="14">
        <f t="shared" si="0"/>
        <v>1.7777777777777777</v>
      </c>
      <c r="Y14" s="14">
        <f t="shared" si="0"/>
        <v>1.5172413793103448</v>
      </c>
      <c r="Z14" s="14">
        <f t="shared" si="0"/>
        <v>0.71875</v>
      </c>
      <c r="AA14" s="13">
        <f t="shared" si="4"/>
        <v>1.265625</v>
      </c>
      <c r="AB14" s="13">
        <f t="shared" si="1"/>
        <v>1.0660377358490567</v>
      </c>
      <c r="AC14" s="13">
        <f t="shared" si="1"/>
        <v>1.0845070422535212</v>
      </c>
      <c r="AD14" s="13">
        <f t="shared" si="1"/>
        <v>1.7777777777777777</v>
      </c>
      <c r="AE14" s="13">
        <f t="shared" si="1"/>
        <v>1.5172413793103448</v>
      </c>
      <c r="AF14" s="13">
        <f t="shared" si="1"/>
        <v>0.71875</v>
      </c>
      <c r="AG14" s="13">
        <f t="shared" si="5"/>
        <v>1.0392156862745099</v>
      </c>
      <c r="AH14" s="13">
        <f t="shared" si="2"/>
        <v>1.2127659574468086</v>
      </c>
      <c r="AI14" s="13">
        <f t="shared" si="2"/>
        <v>1.0538720538720538</v>
      </c>
      <c r="AJ14" s="13">
        <f t="shared" si="2"/>
        <v>1.375</v>
      </c>
      <c r="AK14" s="13">
        <f t="shared" si="2"/>
        <v>1.9333333333333333</v>
      </c>
      <c r="AL14" s="13">
        <f t="shared" si="2"/>
        <v>1.5853658536585367</v>
      </c>
      <c r="AM14" s="13">
        <f t="shared" si="2"/>
        <v>1.265625</v>
      </c>
      <c r="AN14" s="13">
        <f t="shared" si="3"/>
        <v>1.0660377358490567</v>
      </c>
      <c r="AO14" s="13">
        <f t="shared" si="3"/>
        <v>1.0845070422535212</v>
      </c>
      <c r="AP14" s="13">
        <f t="shared" si="3"/>
        <v>1.7777777777777777</v>
      </c>
      <c r="AQ14" s="13">
        <f t="shared" si="3"/>
        <v>1.5172413793103448</v>
      </c>
      <c r="AR14" s="13">
        <f t="shared" si="3"/>
        <v>0.71875</v>
      </c>
    </row>
    <row r="15" spans="1:44" x14ac:dyDescent="0.35">
      <c r="A15" s="9" t="s">
        <v>34</v>
      </c>
      <c r="B15" s="10">
        <v>85</v>
      </c>
      <c r="C15" s="10">
        <v>164</v>
      </c>
      <c r="D15" s="10">
        <v>351</v>
      </c>
      <c r="E15" s="10">
        <v>48</v>
      </c>
      <c r="F15" s="10">
        <v>105</v>
      </c>
      <c r="G15" s="10">
        <v>53</v>
      </c>
      <c r="H15" s="10">
        <v>90</v>
      </c>
      <c r="I15" s="10">
        <v>99</v>
      </c>
      <c r="J15" s="10">
        <v>67</v>
      </c>
      <c r="K15" s="10">
        <v>43</v>
      </c>
      <c r="L15" s="10">
        <v>48</v>
      </c>
      <c r="M15" s="10">
        <v>32</v>
      </c>
      <c r="O15" s="14">
        <f t="shared" si="0"/>
        <v>0.80188679245283023</v>
      </c>
      <c r="P15" s="14">
        <f t="shared" si="0"/>
        <v>0.57543859649122808</v>
      </c>
      <c r="Q15" s="14">
        <f t="shared" si="0"/>
        <v>1.1214057507987221</v>
      </c>
      <c r="R15" s="14">
        <f t="shared" si="0"/>
        <v>1.4545454545454546</v>
      </c>
      <c r="S15" s="14">
        <f t="shared" si="0"/>
        <v>1.8103448275862069</v>
      </c>
      <c r="T15" s="14">
        <f t="shared" si="0"/>
        <v>0.81538461538461537</v>
      </c>
      <c r="U15" s="14">
        <f t="shared" si="0"/>
        <v>1.1111111111111112</v>
      </c>
      <c r="V15" s="14">
        <f t="shared" si="0"/>
        <v>0.87610619469026552</v>
      </c>
      <c r="W15" s="14">
        <f t="shared" si="0"/>
        <v>0.87012987012987009</v>
      </c>
      <c r="X15" s="14">
        <f t="shared" si="0"/>
        <v>1.34375</v>
      </c>
      <c r="Y15" s="14">
        <f t="shared" si="0"/>
        <v>1.0909090909090908</v>
      </c>
      <c r="Z15" s="14">
        <f t="shared" si="0"/>
        <v>1.3913043478260869</v>
      </c>
      <c r="AA15" s="13">
        <f t="shared" si="4"/>
        <v>1.1111111111111112</v>
      </c>
      <c r="AB15" s="13">
        <f t="shared" si="1"/>
        <v>0.87610619469026552</v>
      </c>
      <c r="AC15" s="13">
        <f t="shared" si="1"/>
        <v>0.87012987012987009</v>
      </c>
      <c r="AD15" s="13">
        <f t="shared" si="1"/>
        <v>1.34375</v>
      </c>
      <c r="AE15" s="13">
        <f t="shared" si="1"/>
        <v>1.0909090909090908</v>
      </c>
      <c r="AF15" s="13">
        <f t="shared" si="1"/>
        <v>1.3913043478260869</v>
      </c>
      <c r="AG15" s="13">
        <f t="shared" si="5"/>
        <v>0.80188679245283023</v>
      </c>
      <c r="AH15" s="13">
        <f t="shared" si="2"/>
        <v>0.57543859649122808</v>
      </c>
      <c r="AI15" s="13">
        <f t="shared" si="2"/>
        <v>1.1214057507987221</v>
      </c>
      <c r="AJ15" s="13">
        <f t="shared" si="2"/>
        <v>1.4545454545454546</v>
      </c>
      <c r="AK15" s="13">
        <f t="shared" si="2"/>
        <v>1.8103448275862069</v>
      </c>
      <c r="AL15" s="13">
        <f t="shared" si="2"/>
        <v>0.81538461538461537</v>
      </c>
      <c r="AM15" s="13">
        <f t="shared" si="2"/>
        <v>1.1111111111111112</v>
      </c>
      <c r="AN15" s="13">
        <f t="shared" si="3"/>
        <v>0.87610619469026552</v>
      </c>
      <c r="AO15" s="13">
        <f t="shared" si="3"/>
        <v>0.87012987012987009</v>
      </c>
      <c r="AP15" s="13">
        <f t="shared" si="3"/>
        <v>1.34375</v>
      </c>
      <c r="AQ15" s="13">
        <f t="shared" si="3"/>
        <v>1.0909090909090908</v>
      </c>
      <c r="AR15" s="13">
        <f t="shared" si="3"/>
        <v>1.3913043478260869</v>
      </c>
    </row>
    <row r="16" spans="1:44" x14ac:dyDescent="0.35">
      <c r="A16" s="9" t="s">
        <v>35</v>
      </c>
      <c r="B16" s="10">
        <v>146</v>
      </c>
      <c r="C16" s="10">
        <v>180</v>
      </c>
      <c r="D16" s="10">
        <v>330</v>
      </c>
      <c r="E16" s="10">
        <v>55</v>
      </c>
      <c r="F16" s="10">
        <v>74</v>
      </c>
      <c r="G16" s="10">
        <v>80</v>
      </c>
      <c r="H16" s="10">
        <v>89</v>
      </c>
      <c r="I16" s="10">
        <v>101</v>
      </c>
      <c r="J16" s="10">
        <v>76</v>
      </c>
      <c r="K16" s="10">
        <v>73</v>
      </c>
      <c r="L16" s="10">
        <v>62</v>
      </c>
      <c r="M16" s="10">
        <v>63</v>
      </c>
      <c r="O16" s="14">
        <f t="shared" si="0"/>
        <v>1.7176470588235293</v>
      </c>
      <c r="P16" s="14">
        <f t="shared" si="0"/>
        <v>1.0975609756097562</v>
      </c>
      <c r="Q16" s="14">
        <f t="shared" si="0"/>
        <v>0.94017094017094016</v>
      </c>
      <c r="R16" s="14">
        <f t="shared" si="0"/>
        <v>1.1458333333333333</v>
      </c>
      <c r="S16" s="14">
        <f t="shared" si="0"/>
        <v>0.70476190476190481</v>
      </c>
      <c r="T16" s="14">
        <f t="shared" si="0"/>
        <v>1.5094339622641511</v>
      </c>
      <c r="U16" s="14">
        <f t="shared" si="0"/>
        <v>0.98888888888888893</v>
      </c>
      <c r="V16" s="14">
        <f t="shared" si="0"/>
        <v>1.0202020202020201</v>
      </c>
      <c r="W16" s="14">
        <f t="shared" si="0"/>
        <v>1.1343283582089552</v>
      </c>
      <c r="X16" s="14">
        <f t="shared" si="0"/>
        <v>1.6976744186046511</v>
      </c>
      <c r="Y16" s="14">
        <f t="shared" si="0"/>
        <v>1.2916666666666667</v>
      </c>
      <c r="Z16" s="14">
        <f t="shared" si="0"/>
        <v>1.96875</v>
      </c>
      <c r="AA16" s="13">
        <f t="shared" si="4"/>
        <v>0.98888888888888893</v>
      </c>
      <c r="AB16" s="13">
        <f t="shared" si="1"/>
        <v>1.0202020202020201</v>
      </c>
      <c r="AC16" s="13">
        <f t="shared" si="1"/>
        <v>1.1343283582089552</v>
      </c>
      <c r="AD16" s="13">
        <f t="shared" si="1"/>
        <v>1.6976744186046511</v>
      </c>
      <c r="AE16" s="13">
        <f t="shared" si="1"/>
        <v>1.2916666666666667</v>
      </c>
      <c r="AF16" s="13">
        <f t="shared" si="1"/>
        <v>1.96875</v>
      </c>
      <c r="AG16" s="13">
        <f t="shared" si="5"/>
        <v>1.7176470588235293</v>
      </c>
      <c r="AH16" s="13">
        <f t="shared" si="2"/>
        <v>1.0975609756097562</v>
      </c>
      <c r="AI16" s="13">
        <f t="shared" si="2"/>
        <v>0.94017094017094016</v>
      </c>
      <c r="AJ16" s="13">
        <f t="shared" si="2"/>
        <v>1.1458333333333333</v>
      </c>
      <c r="AK16" s="13">
        <f t="shared" si="2"/>
        <v>0.70476190476190481</v>
      </c>
      <c r="AL16" s="13">
        <f t="shared" si="2"/>
        <v>1.5094339622641511</v>
      </c>
      <c r="AM16" s="13">
        <f t="shared" si="2"/>
        <v>0.98888888888888893</v>
      </c>
      <c r="AN16" s="13">
        <f t="shared" si="3"/>
        <v>1.0202020202020201</v>
      </c>
      <c r="AO16" s="13">
        <f t="shared" si="3"/>
        <v>1.1343283582089552</v>
      </c>
      <c r="AP16" s="13">
        <f t="shared" si="3"/>
        <v>1.6976744186046511</v>
      </c>
      <c r="AQ16" s="13">
        <f t="shared" si="3"/>
        <v>1.2916666666666667</v>
      </c>
      <c r="AR16" s="13">
        <f t="shared" si="3"/>
        <v>1.96875</v>
      </c>
    </row>
    <row r="17" spans="1:44" x14ac:dyDescent="0.35">
      <c r="A17" s="9" t="s">
        <v>36</v>
      </c>
      <c r="B17" s="10">
        <v>184</v>
      </c>
      <c r="C17" s="10">
        <v>336</v>
      </c>
      <c r="D17" s="10">
        <v>316</v>
      </c>
      <c r="E17" s="10">
        <v>122</v>
      </c>
      <c r="F17" s="10">
        <v>143</v>
      </c>
      <c r="G17" s="10">
        <v>133</v>
      </c>
      <c r="H17" s="10">
        <v>125</v>
      </c>
      <c r="I17" s="10">
        <v>122</v>
      </c>
      <c r="J17" s="10">
        <v>85</v>
      </c>
      <c r="K17" s="10">
        <v>81</v>
      </c>
      <c r="L17" s="10">
        <v>66</v>
      </c>
      <c r="M17" s="10">
        <v>72</v>
      </c>
      <c r="O17" s="14">
        <f t="shared" si="0"/>
        <v>1.2602739726027397</v>
      </c>
      <c r="P17" s="14">
        <f t="shared" si="0"/>
        <v>1.8666666666666667</v>
      </c>
      <c r="Q17" s="14">
        <f t="shared" si="0"/>
        <v>0.95757575757575752</v>
      </c>
      <c r="R17" s="14">
        <f t="shared" si="0"/>
        <v>2.2181818181818183</v>
      </c>
      <c r="S17" s="14">
        <f t="shared" si="0"/>
        <v>1.9324324324324325</v>
      </c>
      <c r="T17" s="14">
        <f t="shared" si="0"/>
        <v>1.6625000000000001</v>
      </c>
      <c r="U17" s="14">
        <f t="shared" si="0"/>
        <v>1.404494382022472</v>
      </c>
      <c r="V17" s="14">
        <f t="shared" si="0"/>
        <v>1.2079207920792079</v>
      </c>
      <c r="W17" s="14">
        <f t="shared" si="0"/>
        <v>1.118421052631579</v>
      </c>
      <c r="X17" s="14">
        <f t="shared" si="0"/>
        <v>1.1095890410958904</v>
      </c>
      <c r="Y17" s="14">
        <f t="shared" si="0"/>
        <v>1.064516129032258</v>
      </c>
      <c r="Z17" s="14">
        <f t="shared" si="0"/>
        <v>1.1428571428571428</v>
      </c>
      <c r="AA17" s="13">
        <f t="shared" si="4"/>
        <v>1.404494382022472</v>
      </c>
      <c r="AB17" s="13">
        <f t="shared" si="1"/>
        <v>1.2079207920792079</v>
      </c>
      <c r="AC17" s="13">
        <f t="shared" si="1"/>
        <v>1.118421052631579</v>
      </c>
      <c r="AD17" s="13">
        <f t="shared" si="1"/>
        <v>1.1095890410958904</v>
      </c>
      <c r="AE17" s="13">
        <f t="shared" si="1"/>
        <v>1.064516129032258</v>
      </c>
      <c r="AF17" s="13">
        <f t="shared" si="1"/>
        <v>1.1428571428571428</v>
      </c>
      <c r="AG17" s="13">
        <f t="shared" si="5"/>
        <v>1.2602739726027397</v>
      </c>
      <c r="AH17" s="13">
        <f t="shared" si="2"/>
        <v>1.8666666666666667</v>
      </c>
      <c r="AI17" s="13">
        <f t="shared" si="2"/>
        <v>0.95757575757575752</v>
      </c>
      <c r="AJ17" s="13">
        <f t="shared" si="2"/>
        <v>2.2181818181818183</v>
      </c>
      <c r="AK17" s="13">
        <f t="shared" si="2"/>
        <v>1.9324324324324325</v>
      </c>
      <c r="AL17" s="13">
        <f t="shared" si="2"/>
        <v>1.6625000000000001</v>
      </c>
      <c r="AM17" s="13">
        <f t="shared" si="2"/>
        <v>1.404494382022472</v>
      </c>
      <c r="AN17" s="13">
        <f t="shared" si="3"/>
        <v>1.2079207920792079</v>
      </c>
      <c r="AO17" s="13">
        <f t="shared" si="3"/>
        <v>1.118421052631579</v>
      </c>
      <c r="AP17" s="13">
        <f t="shared" si="3"/>
        <v>1.1095890410958904</v>
      </c>
      <c r="AQ17" s="13">
        <f t="shared" si="3"/>
        <v>1.064516129032258</v>
      </c>
      <c r="AR17" s="13">
        <f t="shared" si="3"/>
        <v>1.1428571428571428</v>
      </c>
    </row>
    <row r="18" spans="1:44" x14ac:dyDescent="0.35">
      <c r="A18" s="9" t="s">
        <v>37</v>
      </c>
      <c r="B18" s="10">
        <v>346</v>
      </c>
      <c r="C18" s="10">
        <v>293</v>
      </c>
      <c r="D18" s="10">
        <v>283</v>
      </c>
      <c r="E18" s="10">
        <v>230</v>
      </c>
      <c r="F18" s="10">
        <v>118</v>
      </c>
      <c r="G18" s="10">
        <v>143</v>
      </c>
      <c r="H18" s="10">
        <v>219</v>
      </c>
      <c r="I18" s="10">
        <v>168</v>
      </c>
      <c r="J18" s="10">
        <v>93</v>
      </c>
      <c r="K18" s="10">
        <v>240</v>
      </c>
      <c r="L18" s="10">
        <v>143</v>
      </c>
      <c r="M18" s="10">
        <v>99</v>
      </c>
      <c r="O18" s="14">
        <f t="shared" si="0"/>
        <v>1.8804347826086956</v>
      </c>
      <c r="P18" s="14">
        <f t="shared" si="0"/>
        <v>0.87202380952380953</v>
      </c>
      <c r="Q18" s="14">
        <f t="shared" si="0"/>
        <v>0.89556962025316456</v>
      </c>
      <c r="R18" s="14">
        <f t="shared" si="0"/>
        <v>1.8852459016393444</v>
      </c>
      <c r="S18" s="14">
        <f t="shared" si="0"/>
        <v>0.82517482517482521</v>
      </c>
      <c r="T18" s="14">
        <f t="shared" si="0"/>
        <v>1.0751879699248121</v>
      </c>
      <c r="U18" s="14">
        <f t="shared" si="0"/>
        <v>1.752</v>
      </c>
      <c r="V18" s="14">
        <f t="shared" si="0"/>
        <v>1.3770491803278688</v>
      </c>
      <c r="W18" s="14">
        <f t="shared" si="0"/>
        <v>1.0941176470588236</v>
      </c>
      <c r="X18" s="14">
        <f t="shared" si="0"/>
        <v>2.9629629629629628</v>
      </c>
      <c r="Y18" s="14">
        <f t="shared" si="0"/>
        <v>2.1666666666666665</v>
      </c>
      <c r="Z18" s="14">
        <f t="shared" si="0"/>
        <v>1.375</v>
      </c>
      <c r="AA18" s="13">
        <f t="shared" si="4"/>
        <v>1.752</v>
      </c>
      <c r="AB18" s="13">
        <f t="shared" si="1"/>
        <v>1.3770491803278688</v>
      </c>
      <c r="AC18" s="13">
        <f t="shared" si="1"/>
        <v>1.0941176470588236</v>
      </c>
      <c r="AD18" s="13">
        <f t="shared" si="1"/>
        <v>2.9629629629629628</v>
      </c>
      <c r="AE18" s="13">
        <f t="shared" si="1"/>
        <v>2.1666666666666665</v>
      </c>
      <c r="AF18" s="13">
        <f t="shared" si="1"/>
        <v>1.375</v>
      </c>
      <c r="AG18" s="13">
        <f t="shared" si="5"/>
        <v>1.8804347826086956</v>
      </c>
      <c r="AH18" s="13">
        <f t="shared" si="2"/>
        <v>0.87202380952380953</v>
      </c>
      <c r="AI18" s="13">
        <f t="shared" si="2"/>
        <v>0.89556962025316456</v>
      </c>
      <c r="AJ18" s="13">
        <f t="shared" si="2"/>
        <v>1.8852459016393444</v>
      </c>
      <c r="AK18" s="13">
        <f t="shared" si="2"/>
        <v>0.82517482517482521</v>
      </c>
      <c r="AL18" s="13">
        <f t="shared" si="2"/>
        <v>1.0751879699248121</v>
      </c>
      <c r="AM18" s="13">
        <f t="shared" si="2"/>
        <v>1.752</v>
      </c>
      <c r="AN18" s="13">
        <f t="shared" si="3"/>
        <v>1.3770491803278688</v>
      </c>
      <c r="AO18" s="13">
        <f t="shared" si="3"/>
        <v>1.0941176470588236</v>
      </c>
      <c r="AP18" s="13">
        <f t="shared" si="3"/>
        <v>2.9629629629629628</v>
      </c>
      <c r="AQ18" s="13">
        <f t="shared" si="3"/>
        <v>2.1666666666666665</v>
      </c>
      <c r="AR18" s="13">
        <f t="shared" si="3"/>
        <v>1.375</v>
      </c>
    </row>
    <row r="19" spans="1:44" x14ac:dyDescent="0.35">
      <c r="A19" s="9" t="s">
        <v>38</v>
      </c>
      <c r="B19" s="10">
        <v>139</v>
      </c>
      <c r="C19" s="10">
        <v>277</v>
      </c>
      <c r="D19" s="10">
        <v>236</v>
      </c>
      <c r="E19" s="10">
        <v>292</v>
      </c>
      <c r="F19" s="10">
        <v>144</v>
      </c>
      <c r="G19" s="10">
        <v>112</v>
      </c>
      <c r="H19" s="10">
        <v>37</v>
      </c>
      <c r="I19" s="10">
        <v>118</v>
      </c>
      <c r="J19" s="10">
        <v>100</v>
      </c>
      <c r="K19" s="10">
        <v>22</v>
      </c>
      <c r="L19" s="10">
        <v>117</v>
      </c>
      <c r="M19" s="10">
        <v>122</v>
      </c>
      <c r="O19" s="20">
        <f>O18*P19/P18</f>
        <v>2.0386472304506342</v>
      </c>
      <c r="P19" s="14">
        <f>C19/C18</f>
        <v>0.94539249146757676</v>
      </c>
      <c r="Q19" s="14">
        <f t="shared" si="0"/>
        <v>0.83392226148409898</v>
      </c>
      <c r="R19" s="20">
        <f>R18*S19/S18</f>
        <v>2.7880625974258386</v>
      </c>
      <c r="S19" s="14">
        <f t="shared" si="0"/>
        <v>1.2203389830508475</v>
      </c>
      <c r="T19" s="14">
        <f t="shared" si="0"/>
        <v>0.78321678321678323</v>
      </c>
      <c r="U19" s="20">
        <f>U18*V19/V18</f>
        <v>0.89362925170068019</v>
      </c>
      <c r="V19" s="14">
        <f t="shared" si="0"/>
        <v>0.70238095238095233</v>
      </c>
      <c r="W19" s="14">
        <f t="shared" si="0"/>
        <v>1.075268817204301</v>
      </c>
      <c r="X19" s="20">
        <f>X18*Y19/Y18</f>
        <v>1.118881118881119</v>
      </c>
      <c r="Y19" s="14">
        <f t="shared" si="0"/>
        <v>0.81818181818181823</v>
      </c>
      <c r="Z19" s="14">
        <f t="shared" si="0"/>
        <v>1.2323232323232323</v>
      </c>
      <c r="AA19" s="13">
        <f t="shared" si="4"/>
        <v>0.89362925170068019</v>
      </c>
      <c r="AB19" s="13">
        <f t="shared" si="1"/>
        <v>0.70238095238095233</v>
      </c>
      <c r="AC19" s="13">
        <f t="shared" si="1"/>
        <v>1.075268817204301</v>
      </c>
      <c r="AD19" s="13">
        <f t="shared" si="1"/>
        <v>1.118881118881119</v>
      </c>
      <c r="AE19" s="13">
        <f t="shared" si="1"/>
        <v>0.81818181818181823</v>
      </c>
      <c r="AF19" s="13">
        <f t="shared" si="1"/>
        <v>1.2323232323232323</v>
      </c>
      <c r="AG19" s="13">
        <f t="shared" si="5"/>
        <v>2.0386472304506342</v>
      </c>
      <c r="AH19" s="13">
        <f t="shared" si="2"/>
        <v>0.94539249146757676</v>
      </c>
      <c r="AI19" s="13">
        <f t="shared" si="2"/>
        <v>0.83392226148409898</v>
      </c>
      <c r="AJ19" s="13">
        <f t="shared" si="2"/>
        <v>2.7880625974258386</v>
      </c>
      <c r="AK19" s="13">
        <f t="shared" si="2"/>
        <v>1.2203389830508475</v>
      </c>
      <c r="AL19" s="13">
        <f t="shared" si="2"/>
        <v>0.78321678321678323</v>
      </c>
      <c r="AM19" s="13">
        <f t="shared" si="2"/>
        <v>0.89362925170068019</v>
      </c>
      <c r="AN19" s="13">
        <f t="shared" si="3"/>
        <v>0.70238095238095233</v>
      </c>
      <c r="AO19" s="13">
        <f t="shared" si="3"/>
        <v>1.075268817204301</v>
      </c>
      <c r="AP19" s="13">
        <f t="shared" si="3"/>
        <v>1.118881118881119</v>
      </c>
      <c r="AQ19" s="13">
        <f t="shared" si="3"/>
        <v>0.81818181818181823</v>
      </c>
      <c r="AR19" s="13">
        <f t="shared" si="3"/>
        <v>1.2323232323232323</v>
      </c>
    </row>
    <row r="20" spans="1:44" x14ac:dyDescent="0.35">
      <c r="A20" s="9" t="s">
        <v>39</v>
      </c>
      <c r="B20" s="10">
        <v>0</v>
      </c>
      <c r="C20" s="10">
        <v>309</v>
      </c>
      <c r="D20" s="10">
        <v>259</v>
      </c>
      <c r="E20" s="10">
        <v>0</v>
      </c>
      <c r="F20" s="10">
        <v>146</v>
      </c>
      <c r="G20" s="10">
        <v>187</v>
      </c>
      <c r="H20" s="10">
        <v>0</v>
      </c>
      <c r="I20" s="10">
        <v>106</v>
      </c>
      <c r="J20" s="10">
        <v>106</v>
      </c>
      <c r="K20" s="10">
        <v>0</v>
      </c>
      <c r="L20" s="10">
        <v>130</v>
      </c>
      <c r="M20" s="10">
        <v>77</v>
      </c>
      <c r="O20" s="20">
        <f t="shared" ref="O20:O21" si="6">O19*P20/P19</f>
        <v>2.4055181783068864</v>
      </c>
      <c r="P20" s="14">
        <f t="shared" si="0"/>
        <v>1.1155234657039712</v>
      </c>
      <c r="Q20" s="14">
        <f t="shared" si="0"/>
        <v>1.097457627118644</v>
      </c>
      <c r="R20" s="20">
        <f t="shared" ref="R20:R21" si="7">R19*S20/S19</f>
        <v>2.3163938285326169</v>
      </c>
      <c r="S20" s="14">
        <f t="shared" si="0"/>
        <v>1.0138888888888888</v>
      </c>
      <c r="T20" s="14">
        <f t="shared" si="0"/>
        <v>1.6696428571428572</v>
      </c>
      <c r="U20" s="20">
        <f t="shared" ref="U20:U21" si="8">U19*V20/V19</f>
        <v>1.1429007263922519</v>
      </c>
      <c r="V20" s="14">
        <f t="shared" si="0"/>
        <v>0.89830508474576276</v>
      </c>
      <c r="W20" s="14">
        <f t="shared" si="0"/>
        <v>1.06</v>
      </c>
      <c r="X20" s="20">
        <f t="shared" ref="X20:X21" si="9">X19*Y20/Y19</f>
        <v>1.5194681861348529</v>
      </c>
      <c r="Y20" s="14">
        <f t="shared" si="0"/>
        <v>1.1111111111111112</v>
      </c>
      <c r="Z20" s="14">
        <f t="shared" si="0"/>
        <v>0.63114754098360659</v>
      </c>
      <c r="AA20" s="13">
        <f t="shared" si="4"/>
        <v>1.1429007263922519</v>
      </c>
      <c r="AB20" s="13">
        <f t="shared" si="1"/>
        <v>0.89830508474576276</v>
      </c>
      <c r="AC20" s="13">
        <f t="shared" si="1"/>
        <v>1.06</v>
      </c>
      <c r="AD20" s="13">
        <f t="shared" si="1"/>
        <v>1.5194681861348529</v>
      </c>
      <c r="AE20" s="13">
        <f t="shared" si="1"/>
        <v>1.1111111111111112</v>
      </c>
      <c r="AF20" s="13">
        <f t="shared" si="1"/>
        <v>0.63114754098360659</v>
      </c>
      <c r="AG20" s="13">
        <f t="shared" si="5"/>
        <v>2.4055181783068864</v>
      </c>
      <c r="AH20" s="13">
        <f t="shared" si="2"/>
        <v>1.1155234657039712</v>
      </c>
      <c r="AI20" s="13">
        <f t="shared" si="2"/>
        <v>1.097457627118644</v>
      </c>
      <c r="AJ20" s="13">
        <f t="shared" si="2"/>
        <v>2.3163938285326169</v>
      </c>
      <c r="AK20" s="13">
        <f t="shared" si="2"/>
        <v>1.0138888888888888</v>
      </c>
      <c r="AL20" s="13">
        <f t="shared" si="2"/>
        <v>1.6696428571428572</v>
      </c>
      <c r="AM20" s="13">
        <f t="shared" si="2"/>
        <v>1.1429007263922519</v>
      </c>
      <c r="AN20" s="13">
        <f t="shared" si="3"/>
        <v>0.89830508474576276</v>
      </c>
      <c r="AO20" s="13">
        <f t="shared" si="3"/>
        <v>1.06</v>
      </c>
      <c r="AP20" s="13">
        <f t="shared" si="3"/>
        <v>1.5194681861348529</v>
      </c>
      <c r="AQ20" s="13">
        <f t="shared" si="3"/>
        <v>1.1111111111111112</v>
      </c>
      <c r="AR20" s="13">
        <f t="shared" si="3"/>
        <v>0.63114754098360659</v>
      </c>
    </row>
    <row r="21" spans="1:44" x14ac:dyDescent="0.35">
      <c r="A21" s="9" t="s">
        <v>40</v>
      </c>
      <c r="B21" s="10">
        <v>0</v>
      </c>
      <c r="C21" s="10">
        <v>390</v>
      </c>
      <c r="D21" s="10">
        <v>202</v>
      </c>
      <c r="E21" s="10">
        <v>0</v>
      </c>
      <c r="F21" s="10">
        <v>342</v>
      </c>
      <c r="G21" s="10">
        <v>184</v>
      </c>
      <c r="H21" s="10">
        <v>0</v>
      </c>
      <c r="I21" s="10">
        <v>98</v>
      </c>
      <c r="J21" s="10">
        <v>60</v>
      </c>
      <c r="K21" s="10">
        <v>0</v>
      </c>
      <c r="L21" s="10">
        <v>107</v>
      </c>
      <c r="M21" s="10">
        <v>57</v>
      </c>
      <c r="O21" s="20">
        <f t="shared" si="6"/>
        <v>2.7216737235941486</v>
      </c>
      <c r="P21" s="14">
        <f t="shared" ref="P21:Q36" si="10">C21/C20</f>
        <v>1.2621359223300972</v>
      </c>
      <c r="Q21" s="14">
        <f t="shared" si="10"/>
        <v>0.77992277992277992</v>
      </c>
      <c r="R21" s="20">
        <f t="shared" si="7"/>
        <v>5.3517434447163783</v>
      </c>
      <c r="S21" s="14">
        <f t="shared" ref="S21:T34" si="11">F21/F20</f>
        <v>2.3424657534246576</v>
      </c>
      <c r="T21" s="14">
        <f t="shared" si="11"/>
        <v>0.98395721925133695</v>
      </c>
      <c r="U21" s="20">
        <f t="shared" si="8"/>
        <v>1.1762641509433962</v>
      </c>
      <c r="V21" s="14">
        <f t="shared" ref="V21:W34" si="12">I21/I20</f>
        <v>0.92452830188679247</v>
      </c>
      <c r="W21" s="14">
        <f t="shared" si="12"/>
        <v>0.56603773584905659</v>
      </c>
      <c r="X21" s="20">
        <f t="shared" si="9"/>
        <v>1.1255752794214333</v>
      </c>
      <c r="Y21" s="14">
        <f t="shared" ref="Y21:Z34" si="13">L21/L20</f>
        <v>0.82307692307692304</v>
      </c>
      <c r="Z21" s="14">
        <f t="shared" si="13"/>
        <v>0.74025974025974028</v>
      </c>
      <c r="AA21" s="13">
        <f t="shared" si="4"/>
        <v>1.1762641509433962</v>
      </c>
      <c r="AB21" s="13">
        <f t="shared" si="4"/>
        <v>0.92452830188679247</v>
      </c>
      <c r="AC21" s="13">
        <f t="shared" si="4"/>
        <v>0.56603773584905659</v>
      </c>
      <c r="AD21" s="13">
        <f t="shared" si="4"/>
        <v>1.1255752794214333</v>
      </c>
      <c r="AE21" s="13">
        <f t="shared" si="4"/>
        <v>0.82307692307692304</v>
      </c>
      <c r="AF21" s="13">
        <f t="shared" si="4"/>
        <v>0.74025974025974028</v>
      </c>
      <c r="AG21" s="13">
        <f t="shared" si="5"/>
        <v>2.7216737235941486</v>
      </c>
      <c r="AH21" s="13">
        <f t="shared" si="5"/>
        <v>1.2621359223300972</v>
      </c>
      <c r="AI21" s="13">
        <f t="shared" si="5"/>
        <v>0.77992277992277992</v>
      </c>
      <c r="AJ21" s="13">
        <f t="shared" si="5"/>
        <v>5.3517434447163783</v>
      </c>
      <c r="AK21" s="13">
        <f t="shared" si="5"/>
        <v>2.3424657534246576</v>
      </c>
      <c r="AL21" s="13">
        <f t="shared" si="5"/>
        <v>0.98395721925133695</v>
      </c>
      <c r="AM21" s="13">
        <f t="shared" si="5"/>
        <v>1.1762641509433962</v>
      </c>
      <c r="AN21" s="13">
        <f t="shared" si="5"/>
        <v>0.92452830188679247</v>
      </c>
      <c r="AO21" s="13">
        <f t="shared" si="5"/>
        <v>0.56603773584905659</v>
      </c>
      <c r="AP21" s="13">
        <f t="shared" si="5"/>
        <v>1.1255752794214333</v>
      </c>
      <c r="AQ21" s="13">
        <f t="shared" si="5"/>
        <v>0.82307692307692304</v>
      </c>
      <c r="AR21" s="13">
        <f t="shared" si="5"/>
        <v>0.74025974025974028</v>
      </c>
    </row>
  </sheetData>
  <mergeCells count="21">
    <mergeCell ref="AD3:AF3"/>
    <mergeCell ref="AG3:AI3"/>
    <mergeCell ref="AJ3:AL3"/>
    <mergeCell ref="AM3:AO3"/>
    <mergeCell ref="AP3:AR3"/>
    <mergeCell ref="AM2:AR2"/>
    <mergeCell ref="B3:D3"/>
    <mergeCell ref="E3:G3"/>
    <mergeCell ref="H3:J3"/>
    <mergeCell ref="K3:M3"/>
    <mergeCell ref="O3:Q3"/>
    <mergeCell ref="R3:T3"/>
    <mergeCell ref="U3:W3"/>
    <mergeCell ref="X3:Z3"/>
    <mergeCell ref="AA3:AC3"/>
    <mergeCell ref="B2:G2"/>
    <mergeCell ref="H2:M2"/>
    <mergeCell ref="O2:T2"/>
    <mergeCell ref="U2:Z2"/>
    <mergeCell ref="AA2:AF2"/>
    <mergeCell ref="AG2:A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1F505-F5D5-4CF5-B34A-3B0069BBEE79}">
  <dimension ref="A1:AR23"/>
  <sheetViews>
    <sheetView tabSelected="1" zoomScale="137" zoomScaleNormal="115" workbookViewId="0">
      <selection activeCell="N15" sqref="N15"/>
    </sheetView>
  </sheetViews>
  <sheetFormatPr defaultRowHeight="14.5" x14ac:dyDescent="0.35"/>
  <cols>
    <col min="2" max="13" width="6.6328125" style="9" customWidth="1"/>
    <col min="14" max="14" width="10.6328125" style="9" customWidth="1"/>
    <col min="15" max="44" width="6.6328125" style="9" customWidth="1"/>
  </cols>
  <sheetData>
    <row r="1" spans="1:44" x14ac:dyDescent="0.35">
      <c r="B1" s="21" t="s">
        <v>41</v>
      </c>
    </row>
    <row r="2" spans="1:44" x14ac:dyDescent="0.35">
      <c r="A2" s="6"/>
      <c r="B2" s="11" t="s">
        <v>5</v>
      </c>
      <c r="C2" s="12"/>
      <c r="D2" s="12"/>
      <c r="E2" s="12"/>
      <c r="F2" s="12"/>
      <c r="G2" s="12"/>
      <c r="H2" s="7" t="s">
        <v>13</v>
      </c>
      <c r="I2" s="7"/>
      <c r="J2" s="7"/>
      <c r="K2" s="7"/>
      <c r="L2" s="7"/>
      <c r="M2" s="7"/>
      <c r="O2" s="11" t="s">
        <v>5</v>
      </c>
      <c r="P2" s="12"/>
      <c r="Q2" s="12"/>
      <c r="R2" s="12"/>
      <c r="S2" s="12"/>
      <c r="T2" s="12"/>
      <c r="U2" s="7" t="s">
        <v>13</v>
      </c>
      <c r="V2" s="7"/>
      <c r="W2" s="7"/>
      <c r="X2" s="7"/>
      <c r="Y2" s="7"/>
      <c r="Z2" s="7"/>
      <c r="AA2" s="16" t="s">
        <v>42</v>
      </c>
      <c r="AB2" s="16"/>
      <c r="AC2" s="16"/>
      <c r="AD2" s="16"/>
      <c r="AE2" s="16"/>
      <c r="AF2" s="16"/>
      <c r="AG2" s="16" t="s">
        <v>43</v>
      </c>
      <c r="AH2" s="16"/>
      <c r="AI2" s="16"/>
      <c r="AJ2" s="16"/>
      <c r="AK2" s="16"/>
      <c r="AL2" s="16"/>
      <c r="AM2" s="16" t="s">
        <v>44</v>
      </c>
      <c r="AN2" s="16"/>
      <c r="AO2" s="16"/>
      <c r="AP2" s="16"/>
      <c r="AQ2" s="16"/>
      <c r="AR2" s="16"/>
    </row>
    <row r="3" spans="1:44" x14ac:dyDescent="0.35">
      <c r="A3" s="6"/>
      <c r="B3" s="11" t="s">
        <v>9</v>
      </c>
      <c r="C3" s="12"/>
      <c r="D3" s="12"/>
      <c r="E3" s="11" t="s">
        <v>10</v>
      </c>
      <c r="F3" s="12"/>
      <c r="G3" s="12"/>
      <c r="H3" s="7" t="s">
        <v>9</v>
      </c>
      <c r="I3" s="7"/>
      <c r="J3" s="7"/>
      <c r="K3" s="7" t="s">
        <v>10</v>
      </c>
      <c r="L3" s="7"/>
      <c r="M3" s="7"/>
      <c r="O3" s="11" t="s">
        <v>9</v>
      </c>
      <c r="P3" s="12"/>
      <c r="Q3" s="12"/>
      <c r="R3" s="11" t="s">
        <v>10</v>
      </c>
      <c r="S3" s="12"/>
      <c r="T3" s="12"/>
      <c r="U3" s="7" t="s">
        <v>9</v>
      </c>
      <c r="V3" s="7"/>
      <c r="W3" s="7"/>
      <c r="X3" s="7" t="s">
        <v>10</v>
      </c>
      <c r="Y3" s="7"/>
      <c r="Z3" s="7"/>
      <c r="AA3" s="17" t="s">
        <v>9</v>
      </c>
      <c r="AB3" s="18"/>
      <c r="AC3" s="18"/>
      <c r="AD3" s="17" t="s">
        <v>10</v>
      </c>
      <c r="AE3" s="18"/>
      <c r="AF3" s="18"/>
      <c r="AG3" s="16" t="s">
        <v>9</v>
      </c>
      <c r="AH3" s="16"/>
      <c r="AI3" s="16"/>
      <c r="AJ3" s="16" t="s">
        <v>10</v>
      </c>
      <c r="AK3" s="16"/>
      <c r="AL3" s="16"/>
      <c r="AM3" s="16" t="s">
        <v>9</v>
      </c>
      <c r="AN3" s="16"/>
      <c r="AO3" s="16"/>
      <c r="AP3" s="16" t="s">
        <v>10</v>
      </c>
      <c r="AQ3" s="16"/>
      <c r="AR3" s="16"/>
    </row>
    <row r="4" spans="1:44" x14ac:dyDescent="0.35">
      <c r="A4" s="8" t="s">
        <v>3</v>
      </c>
      <c r="B4" s="15" t="s">
        <v>45</v>
      </c>
      <c r="C4" s="15" t="s">
        <v>46</v>
      </c>
      <c r="D4" s="15" t="s">
        <v>47</v>
      </c>
      <c r="E4" s="15" t="s">
        <v>45</v>
      </c>
      <c r="F4" s="15" t="s">
        <v>46</v>
      </c>
      <c r="G4" s="15" t="s">
        <v>47</v>
      </c>
      <c r="H4" s="15" t="s">
        <v>45</v>
      </c>
      <c r="I4" s="15" t="s">
        <v>46</v>
      </c>
      <c r="J4" s="15" t="s">
        <v>47</v>
      </c>
      <c r="K4" s="15" t="s">
        <v>45</v>
      </c>
      <c r="L4" s="15" t="s">
        <v>46</v>
      </c>
      <c r="M4" s="15" t="s">
        <v>47</v>
      </c>
      <c r="O4" s="15" t="s">
        <v>45</v>
      </c>
      <c r="P4" s="15" t="s">
        <v>46</v>
      </c>
      <c r="Q4" s="15" t="s">
        <v>47</v>
      </c>
      <c r="R4" s="15" t="s">
        <v>45</v>
      </c>
      <c r="S4" s="15" t="s">
        <v>46</v>
      </c>
      <c r="T4" s="15" t="s">
        <v>47</v>
      </c>
      <c r="U4" s="15" t="s">
        <v>45</v>
      </c>
      <c r="V4" s="15" t="s">
        <v>46</v>
      </c>
      <c r="W4" s="15" t="s">
        <v>47</v>
      </c>
      <c r="X4" s="15" t="s">
        <v>45</v>
      </c>
      <c r="Y4" s="15" t="s">
        <v>46</v>
      </c>
      <c r="Z4" s="15" t="s">
        <v>47</v>
      </c>
      <c r="AA4" s="19" t="s">
        <v>45</v>
      </c>
      <c r="AB4" s="19" t="s">
        <v>46</v>
      </c>
      <c r="AC4" s="19" t="s">
        <v>47</v>
      </c>
      <c r="AD4" s="19" t="s">
        <v>45</v>
      </c>
      <c r="AE4" s="19" t="s">
        <v>46</v>
      </c>
      <c r="AF4" s="19" t="s">
        <v>47</v>
      </c>
      <c r="AG4" s="19" t="s">
        <v>45</v>
      </c>
      <c r="AH4" s="19" t="s">
        <v>46</v>
      </c>
      <c r="AI4" s="19" t="s">
        <v>47</v>
      </c>
      <c r="AJ4" s="19" t="s">
        <v>45</v>
      </c>
      <c r="AK4" s="19" t="s">
        <v>46</v>
      </c>
      <c r="AL4" s="19" t="s">
        <v>47</v>
      </c>
      <c r="AM4" s="19" t="s">
        <v>45</v>
      </c>
      <c r="AN4" s="19" t="s">
        <v>46</v>
      </c>
      <c r="AO4" s="19" t="s">
        <v>47</v>
      </c>
      <c r="AP4" s="19" t="s">
        <v>45</v>
      </c>
      <c r="AQ4" s="19" t="s">
        <v>46</v>
      </c>
      <c r="AR4" s="19" t="s">
        <v>47</v>
      </c>
    </row>
    <row r="5" spans="1:44" x14ac:dyDescent="0.35">
      <c r="A5" s="9" t="s">
        <v>24</v>
      </c>
      <c r="B5" s="10">
        <v>0</v>
      </c>
      <c r="C5" s="10">
        <v>158</v>
      </c>
      <c r="D5" s="10">
        <v>302</v>
      </c>
      <c r="E5" s="10">
        <v>0</v>
      </c>
      <c r="F5" s="10">
        <v>41</v>
      </c>
      <c r="G5" s="10">
        <v>46</v>
      </c>
      <c r="H5" s="10">
        <v>3</v>
      </c>
      <c r="I5" s="10">
        <v>51</v>
      </c>
      <c r="J5" s="10">
        <v>73</v>
      </c>
      <c r="K5" s="10">
        <v>1</v>
      </c>
      <c r="L5" s="10">
        <v>12</v>
      </c>
      <c r="M5" s="10">
        <v>18</v>
      </c>
      <c r="O5" s="14" t="e">
        <f t="shared" ref="O5:O7" si="0">B5/B4</f>
        <v>#VALUE!</v>
      </c>
      <c r="P5" s="14" t="e">
        <f t="shared" ref="P5:P7" si="1">C5/C4</f>
        <v>#VALUE!</v>
      </c>
      <c r="Q5" s="14" t="e">
        <f t="shared" ref="Q5:Q7" si="2">D5/D4</f>
        <v>#VALUE!</v>
      </c>
      <c r="R5" s="14" t="e">
        <f t="shared" ref="R5:R7" si="3">E5/E4</f>
        <v>#VALUE!</v>
      </c>
      <c r="S5" s="14" t="e">
        <f t="shared" ref="S5:S7" si="4">F5/F4</f>
        <v>#VALUE!</v>
      </c>
      <c r="T5" s="14" t="e">
        <f t="shared" ref="T5:T7" si="5">G5/G4</f>
        <v>#VALUE!</v>
      </c>
      <c r="U5" s="14" t="e">
        <f t="shared" ref="U5:U7" si="6">H5/H4</f>
        <v>#VALUE!</v>
      </c>
      <c r="V5" s="14" t="e">
        <f t="shared" ref="V5:V7" si="7">I5/I4</f>
        <v>#VALUE!</v>
      </c>
      <c r="W5" s="14" t="e">
        <f t="shared" ref="W5:W7" si="8">J5/J4</f>
        <v>#VALUE!</v>
      </c>
      <c r="X5" s="14" t="e">
        <f t="shared" ref="X5:X7" si="9">K5/K4</f>
        <v>#VALUE!</v>
      </c>
      <c r="Y5" s="14" t="e">
        <f t="shared" ref="Y5:Y7" si="10">L5/L4</f>
        <v>#VALUE!</v>
      </c>
      <c r="Z5" s="14" t="e">
        <f t="shared" ref="Z5:Z7" si="11">M5/M4</f>
        <v>#VALUE!</v>
      </c>
      <c r="AA5" s="13" t="e">
        <f>U5</f>
        <v>#VALUE!</v>
      </c>
      <c r="AB5" s="13" t="e">
        <f t="shared" ref="AB5:AF5" si="12">V5</f>
        <v>#VALUE!</v>
      </c>
      <c r="AC5" s="13" t="e">
        <f t="shared" si="12"/>
        <v>#VALUE!</v>
      </c>
      <c r="AD5" s="13" t="e">
        <f t="shared" si="12"/>
        <v>#VALUE!</v>
      </c>
      <c r="AE5" s="13" t="e">
        <f t="shared" si="12"/>
        <v>#VALUE!</v>
      </c>
      <c r="AF5" s="13" t="e">
        <f t="shared" si="12"/>
        <v>#VALUE!</v>
      </c>
      <c r="AG5" s="13" t="e">
        <f>O5</f>
        <v>#VALUE!</v>
      </c>
      <c r="AH5" s="13" t="e">
        <f t="shared" ref="AH5:AL20" si="13">P5</f>
        <v>#VALUE!</v>
      </c>
      <c r="AI5" s="13" t="e">
        <f t="shared" si="13"/>
        <v>#VALUE!</v>
      </c>
      <c r="AJ5" s="13" t="e">
        <f t="shared" si="13"/>
        <v>#VALUE!</v>
      </c>
      <c r="AK5" s="13" t="e">
        <f t="shared" si="13"/>
        <v>#VALUE!</v>
      </c>
      <c r="AL5" s="13" t="e">
        <f t="shared" si="13"/>
        <v>#VALUE!</v>
      </c>
      <c r="AM5" s="13" t="e">
        <f>U5</f>
        <v>#VALUE!</v>
      </c>
      <c r="AN5" s="13" t="e">
        <f t="shared" ref="AN5:AR5" si="14">V5</f>
        <v>#VALUE!</v>
      </c>
      <c r="AO5" s="13" t="e">
        <f t="shared" si="14"/>
        <v>#VALUE!</v>
      </c>
      <c r="AP5" s="13" t="e">
        <f t="shared" si="14"/>
        <v>#VALUE!</v>
      </c>
      <c r="AQ5" s="13" t="e">
        <f t="shared" si="14"/>
        <v>#VALUE!</v>
      </c>
      <c r="AR5" s="13" t="e">
        <f t="shared" si="14"/>
        <v>#VALUE!</v>
      </c>
    </row>
    <row r="6" spans="1:44" x14ac:dyDescent="0.35">
      <c r="A6" s="9" t="s">
        <v>25</v>
      </c>
      <c r="B6" s="10">
        <v>40</v>
      </c>
      <c r="C6" s="10">
        <v>125</v>
      </c>
      <c r="D6" s="10">
        <v>204</v>
      </c>
      <c r="E6" s="10">
        <v>8</v>
      </c>
      <c r="F6" s="10">
        <v>14</v>
      </c>
      <c r="G6" s="10">
        <v>51</v>
      </c>
      <c r="H6" s="10">
        <v>56</v>
      </c>
      <c r="I6" s="10">
        <v>42</v>
      </c>
      <c r="J6" s="10">
        <v>55</v>
      </c>
      <c r="K6" s="10">
        <v>12</v>
      </c>
      <c r="L6" s="10">
        <v>15</v>
      </c>
      <c r="M6" s="10">
        <v>20</v>
      </c>
      <c r="O6" s="14" t="e">
        <f t="shared" si="0"/>
        <v>#DIV/0!</v>
      </c>
      <c r="P6" s="14">
        <f t="shared" si="1"/>
        <v>0.79113924050632911</v>
      </c>
      <c r="Q6" s="14">
        <f t="shared" si="2"/>
        <v>0.67549668874172186</v>
      </c>
      <c r="R6" s="14" t="e">
        <f t="shared" si="3"/>
        <v>#DIV/0!</v>
      </c>
      <c r="S6" s="14">
        <f t="shared" si="4"/>
        <v>0.34146341463414637</v>
      </c>
      <c r="T6" s="14">
        <f t="shared" si="5"/>
        <v>1.1086956521739131</v>
      </c>
      <c r="U6" s="14">
        <f t="shared" si="6"/>
        <v>18.666666666666668</v>
      </c>
      <c r="V6" s="14">
        <f t="shared" si="7"/>
        <v>0.82352941176470584</v>
      </c>
      <c r="W6" s="14">
        <f t="shared" si="8"/>
        <v>0.75342465753424659</v>
      </c>
      <c r="X6" s="14">
        <f t="shared" si="9"/>
        <v>12</v>
      </c>
      <c r="Y6" s="14">
        <f t="shared" si="10"/>
        <v>1.25</v>
      </c>
      <c r="Z6" s="14">
        <f t="shared" si="11"/>
        <v>1.1111111111111112</v>
      </c>
      <c r="AA6" s="13">
        <f t="shared" ref="AA6:AA21" si="15">U6</f>
        <v>18.666666666666668</v>
      </c>
      <c r="AB6" s="13">
        <f t="shared" ref="AB6:AB21" si="16">V6</f>
        <v>0.82352941176470584</v>
      </c>
      <c r="AC6" s="13">
        <f t="shared" ref="AC6:AC21" si="17">W6</f>
        <v>0.75342465753424659</v>
      </c>
      <c r="AD6" s="13">
        <f t="shared" ref="AD6:AD21" si="18">X6</f>
        <v>12</v>
      </c>
      <c r="AE6" s="13">
        <f t="shared" ref="AE6:AE21" si="19">Y6</f>
        <v>1.25</v>
      </c>
      <c r="AF6" s="13">
        <f t="shared" ref="AF6:AF21" si="20">Z6</f>
        <v>1.1111111111111112</v>
      </c>
      <c r="AG6" s="13" t="e">
        <f t="shared" ref="AG6:AG21" si="21">O6</f>
        <v>#DIV/0!</v>
      </c>
      <c r="AH6" s="13">
        <f t="shared" si="13"/>
        <v>0.79113924050632911</v>
      </c>
      <c r="AI6" s="13">
        <f t="shared" si="13"/>
        <v>0.67549668874172186</v>
      </c>
      <c r="AJ6" s="13" t="e">
        <f t="shared" si="13"/>
        <v>#DIV/0!</v>
      </c>
      <c r="AK6" s="13">
        <f t="shared" si="13"/>
        <v>0.34146341463414637</v>
      </c>
      <c r="AL6" s="13">
        <f t="shared" si="13"/>
        <v>1.1086956521739131</v>
      </c>
      <c r="AM6" s="13">
        <f t="shared" ref="AM6:AM21" si="22">U6</f>
        <v>18.666666666666668</v>
      </c>
      <c r="AN6" s="13">
        <f t="shared" ref="AN6:AN21" si="23">V6</f>
        <v>0.82352941176470584</v>
      </c>
      <c r="AO6" s="13">
        <f t="shared" ref="AO6:AO21" si="24">W6</f>
        <v>0.75342465753424659</v>
      </c>
      <c r="AP6" s="13">
        <f t="shared" ref="AP6:AP21" si="25">X6</f>
        <v>12</v>
      </c>
      <c r="AQ6" s="13">
        <f t="shared" ref="AQ6:AQ21" si="26">Y6</f>
        <v>1.25</v>
      </c>
      <c r="AR6" s="13">
        <f t="shared" ref="AR6:AR21" si="27">Z6</f>
        <v>1.1111111111111112</v>
      </c>
    </row>
    <row r="7" spans="1:44" x14ac:dyDescent="0.35">
      <c r="A7" s="9" t="s">
        <v>26</v>
      </c>
      <c r="B7" s="10">
        <v>63</v>
      </c>
      <c r="C7" s="10">
        <v>310</v>
      </c>
      <c r="D7" s="10">
        <v>238</v>
      </c>
      <c r="E7" s="10">
        <v>13</v>
      </c>
      <c r="F7" s="10">
        <v>34</v>
      </c>
      <c r="G7" s="10">
        <v>31</v>
      </c>
      <c r="H7" s="10">
        <v>26</v>
      </c>
      <c r="I7" s="10">
        <v>68</v>
      </c>
      <c r="J7" s="10">
        <v>63</v>
      </c>
      <c r="K7" s="10">
        <v>6</v>
      </c>
      <c r="L7" s="10">
        <v>17</v>
      </c>
      <c r="M7" s="10">
        <v>24</v>
      </c>
      <c r="O7" s="14">
        <f t="shared" si="0"/>
        <v>1.575</v>
      </c>
      <c r="P7" s="14">
        <f t="shared" si="1"/>
        <v>2.48</v>
      </c>
      <c r="Q7" s="14">
        <f t="shared" si="2"/>
        <v>1.1666666666666667</v>
      </c>
      <c r="R7" s="14">
        <f t="shared" si="3"/>
        <v>1.625</v>
      </c>
      <c r="S7" s="14">
        <f t="shared" si="4"/>
        <v>2.4285714285714284</v>
      </c>
      <c r="T7" s="14">
        <f t="shared" si="5"/>
        <v>0.60784313725490191</v>
      </c>
      <c r="U7" s="14">
        <f t="shared" si="6"/>
        <v>0.4642857142857143</v>
      </c>
      <c r="V7" s="14">
        <f t="shared" si="7"/>
        <v>1.6190476190476191</v>
      </c>
      <c r="W7" s="14">
        <f t="shared" si="8"/>
        <v>1.1454545454545455</v>
      </c>
      <c r="X7" s="14">
        <f t="shared" si="9"/>
        <v>0.5</v>
      </c>
      <c r="Y7" s="14">
        <f t="shared" si="10"/>
        <v>1.1333333333333333</v>
      </c>
      <c r="Z7" s="14">
        <f t="shared" si="11"/>
        <v>1.2</v>
      </c>
      <c r="AA7" s="13">
        <f t="shared" si="15"/>
        <v>0.4642857142857143</v>
      </c>
      <c r="AB7" s="13">
        <f t="shared" si="16"/>
        <v>1.6190476190476191</v>
      </c>
      <c r="AC7" s="13">
        <f t="shared" si="17"/>
        <v>1.1454545454545455</v>
      </c>
      <c r="AD7" s="13">
        <f t="shared" si="18"/>
        <v>0.5</v>
      </c>
      <c r="AE7" s="13">
        <f t="shared" si="19"/>
        <v>1.1333333333333333</v>
      </c>
      <c r="AF7" s="13">
        <f t="shared" si="20"/>
        <v>1.2</v>
      </c>
      <c r="AG7" s="13">
        <f t="shared" si="21"/>
        <v>1.575</v>
      </c>
      <c r="AH7" s="13">
        <f t="shared" si="13"/>
        <v>2.48</v>
      </c>
      <c r="AI7" s="13">
        <f t="shared" si="13"/>
        <v>1.1666666666666667</v>
      </c>
      <c r="AJ7" s="13">
        <f t="shared" si="13"/>
        <v>1.625</v>
      </c>
      <c r="AK7" s="13">
        <f t="shared" si="13"/>
        <v>2.4285714285714284</v>
      </c>
      <c r="AL7" s="13">
        <f t="shared" si="13"/>
        <v>0.60784313725490191</v>
      </c>
      <c r="AM7" s="13">
        <f t="shared" si="22"/>
        <v>0.4642857142857143</v>
      </c>
      <c r="AN7" s="13">
        <f t="shared" si="23"/>
        <v>1.6190476190476191</v>
      </c>
      <c r="AO7" s="13">
        <f t="shared" si="24"/>
        <v>1.1454545454545455</v>
      </c>
      <c r="AP7" s="13">
        <f t="shared" si="25"/>
        <v>0.5</v>
      </c>
      <c r="AQ7" s="13">
        <f t="shared" si="26"/>
        <v>1.1333333333333333</v>
      </c>
      <c r="AR7" s="13">
        <f t="shared" si="27"/>
        <v>1.2</v>
      </c>
    </row>
    <row r="8" spans="1:44" x14ac:dyDescent="0.35">
      <c r="A8" s="9" t="s">
        <v>27</v>
      </c>
      <c r="B8" s="10">
        <v>80</v>
      </c>
      <c r="C8" s="10">
        <v>197</v>
      </c>
      <c r="D8" s="10">
        <v>255</v>
      </c>
      <c r="E8" s="10">
        <v>14</v>
      </c>
      <c r="F8" s="10">
        <v>27</v>
      </c>
      <c r="G8" s="10">
        <v>27</v>
      </c>
      <c r="H8" s="10">
        <v>45</v>
      </c>
      <c r="I8" s="10">
        <v>60</v>
      </c>
      <c r="J8" s="10">
        <v>52</v>
      </c>
      <c r="K8" s="10">
        <v>16</v>
      </c>
      <c r="L8" s="10">
        <v>26</v>
      </c>
      <c r="M8" s="10">
        <v>30</v>
      </c>
      <c r="O8" s="14">
        <f t="shared" ref="O6:P21" si="28">B8/B7</f>
        <v>1.2698412698412698</v>
      </c>
      <c r="P8" s="14">
        <f t="shared" si="28"/>
        <v>0.63548387096774195</v>
      </c>
      <c r="Q8" s="14">
        <f t="shared" ref="Q8:Q21" si="29">D8/D7</f>
        <v>1.0714285714285714</v>
      </c>
      <c r="R8" s="14">
        <f t="shared" ref="R8:R21" si="30">E8/E7</f>
        <v>1.0769230769230769</v>
      </c>
      <c r="S8" s="14">
        <f t="shared" ref="S8:S21" si="31">F8/F7</f>
        <v>0.79411764705882348</v>
      </c>
      <c r="T8" s="14">
        <f t="shared" ref="T8:T21" si="32">G8/G7</f>
        <v>0.87096774193548387</v>
      </c>
      <c r="U8" s="14">
        <f t="shared" ref="U8:U21" si="33">H8/H7</f>
        <v>1.7307692307692308</v>
      </c>
      <c r="V8" s="14">
        <f t="shared" ref="V8:V21" si="34">I8/I7</f>
        <v>0.88235294117647056</v>
      </c>
      <c r="W8" s="14">
        <f t="shared" ref="W8:W21" si="35">J8/J7</f>
        <v>0.82539682539682535</v>
      </c>
      <c r="X8" s="14">
        <f t="shared" ref="X8:X21" si="36">K8/K7</f>
        <v>2.6666666666666665</v>
      </c>
      <c r="Y8" s="14">
        <f t="shared" ref="Y8:Y21" si="37">L8/L7</f>
        <v>1.5294117647058822</v>
      </c>
      <c r="Z8" s="14">
        <f t="shared" ref="Z8:Z21" si="38">M8/M7</f>
        <v>1.25</v>
      </c>
      <c r="AA8" s="13">
        <f t="shared" si="15"/>
        <v>1.7307692307692308</v>
      </c>
      <c r="AB8" s="13">
        <f t="shared" si="16"/>
        <v>0.88235294117647056</v>
      </c>
      <c r="AC8" s="13">
        <f t="shared" si="17"/>
        <v>0.82539682539682535</v>
      </c>
      <c r="AD8" s="13">
        <f t="shared" si="18"/>
        <v>2.6666666666666665</v>
      </c>
      <c r="AE8" s="13">
        <f t="shared" si="19"/>
        <v>1.5294117647058822</v>
      </c>
      <c r="AF8" s="13">
        <f t="shared" si="20"/>
        <v>1.25</v>
      </c>
      <c r="AG8" s="13">
        <f t="shared" si="21"/>
        <v>1.2698412698412698</v>
      </c>
      <c r="AH8" s="13">
        <f t="shared" si="13"/>
        <v>0.63548387096774195</v>
      </c>
      <c r="AI8" s="13">
        <f t="shared" si="13"/>
        <v>1.0714285714285714</v>
      </c>
      <c r="AJ8" s="13">
        <f t="shared" si="13"/>
        <v>1.0769230769230769</v>
      </c>
      <c r="AK8" s="13">
        <f t="shared" si="13"/>
        <v>0.79411764705882348</v>
      </c>
      <c r="AL8" s="13">
        <f t="shared" si="13"/>
        <v>0.87096774193548387</v>
      </c>
      <c r="AM8" s="13">
        <f t="shared" si="22"/>
        <v>1.7307692307692308</v>
      </c>
      <c r="AN8" s="13">
        <f t="shared" si="23"/>
        <v>0.88235294117647056</v>
      </c>
      <c r="AO8" s="13">
        <f t="shared" si="24"/>
        <v>0.82539682539682535</v>
      </c>
      <c r="AP8" s="13">
        <f t="shared" si="25"/>
        <v>2.6666666666666665</v>
      </c>
      <c r="AQ8" s="13">
        <f t="shared" si="26"/>
        <v>1.5294117647058822</v>
      </c>
      <c r="AR8" s="13">
        <f t="shared" si="27"/>
        <v>1.25</v>
      </c>
    </row>
    <row r="9" spans="1:44" x14ac:dyDescent="0.35">
      <c r="A9" s="9" t="s">
        <v>28</v>
      </c>
      <c r="B9" s="10">
        <v>69</v>
      </c>
      <c r="C9" s="10">
        <v>244</v>
      </c>
      <c r="D9" s="10">
        <v>207</v>
      </c>
      <c r="E9" s="10">
        <v>30</v>
      </c>
      <c r="F9" s="10">
        <v>28</v>
      </c>
      <c r="G9" s="10">
        <v>31</v>
      </c>
      <c r="H9" s="10">
        <v>61</v>
      </c>
      <c r="I9" s="10">
        <v>63</v>
      </c>
      <c r="J9" s="10">
        <v>57</v>
      </c>
      <c r="K9" s="10">
        <v>19</v>
      </c>
      <c r="L9" s="10">
        <v>23</v>
      </c>
      <c r="M9" s="10">
        <v>25</v>
      </c>
      <c r="O9" s="14">
        <f>B9/B8</f>
        <v>0.86250000000000004</v>
      </c>
      <c r="P9" s="14">
        <f t="shared" si="28"/>
        <v>1.2385786802030456</v>
      </c>
      <c r="Q9" s="14">
        <f t="shared" si="29"/>
        <v>0.81176470588235294</v>
      </c>
      <c r="R9" s="14">
        <f t="shared" si="30"/>
        <v>2.1428571428571428</v>
      </c>
      <c r="S9" s="14">
        <f t="shared" si="31"/>
        <v>1.037037037037037</v>
      </c>
      <c r="T9" s="14">
        <f t="shared" si="32"/>
        <v>1.1481481481481481</v>
      </c>
      <c r="U9" s="14">
        <f t="shared" si="33"/>
        <v>1.3555555555555556</v>
      </c>
      <c r="V9" s="14">
        <f t="shared" si="34"/>
        <v>1.05</v>
      </c>
      <c r="W9" s="14">
        <f t="shared" si="35"/>
        <v>1.0961538461538463</v>
      </c>
      <c r="X9" s="14">
        <f t="shared" si="36"/>
        <v>1.1875</v>
      </c>
      <c r="Y9" s="14">
        <f t="shared" si="37"/>
        <v>0.88461538461538458</v>
      </c>
      <c r="Z9" s="14">
        <f t="shared" si="38"/>
        <v>0.83333333333333337</v>
      </c>
      <c r="AA9" s="13">
        <f t="shared" si="15"/>
        <v>1.3555555555555556</v>
      </c>
      <c r="AB9" s="13">
        <f t="shared" si="16"/>
        <v>1.05</v>
      </c>
      <c r="AC9" s="13">
        <f t="shared" si="17"/>
        <v>1.0961538461538463</v>
      </c>
      <c r="AD9" s="13">
        <f t="shared" si="18"/>
        <v>1.1875</v>
      </c>
      <c r="AE9" s="13">
        <f t="shared" si="19"/>
        <v>0.88461538461538458</v>
      </c>
      <c r="AF9" s="13">
        <f t="shared" si="20"/>
        <v>0.83333333333333337</v>
      </c>
      <c r="AG9" s="13">
        <f t="shared" si="21"/>
        <v>0.86250000000000004</v>
      </c>
      <c r="AH9" s="13">
        <f t="shared" si="13"/>
        <v>1.2385786802030456</v>
      </c>
      <c r="AI9" s="13">
        <f t="shared" si="13"/>
        <v>0.81176470588235294</v>
      </c>
      <c r="AJ9" s="13">
        <f t="shared" si="13"/>
        <v>2.1428571428571428</v>
      </c>
      <c r="AK9" s="13">
        <f t="shared" si="13"/>
        <v>1.037037037037037</v>
      </c>
      <c r="AL9" s="13">
        <f t="shared" si="13"/>
        <v>1.1481481481481481</v>
      </c>
      <c r="AM9" s="13">
        <f t="shared" si="22"/>
        <v>1.3555555555555556</v>
      </c>
      <c r="AN9" s="13">
        <f t="shared" si="23"/>
        <v>1.05</v>
      </c>
      <c r="AO9" s="13">
        <f t="shared" si="24"/>
        <v>1.0961538461538463</v>
      </c>
      <c r="AP9" s="13">
        <f t="shared" si="25"/>
        <v>1.1875</v>
      </c>
      <c r="AQ9" s="13">
        <f t="shared" si="26"/>
        <v>0.88461538461538458</v>
      </c>
      <c r="AR9" s="13">
        <f t="shared" si="27"/>
        <v>0.83333333333333337</v>
      </c>
    </row>
    <row r="10" spans="1:44" x14ac:dyDescent="0.35">
      <c r="A10" s="9" t="s">
        <v>29</v>
      </c>
      <c r="B10" s="10">
        <v>68</v>
      </c>
      <c r="C10" s="10">
        <v>261</v>
      </c>
      <c r="D10" s="10">
        <v>248</v>
      </c>
      <c r="E10" s="10">
        <v>15</v>
      </c>
      <c r="F10" s="10">
        <v>49</v>
      </c>
      <c r="G10" s="10">
        <v>24</v>
      </c>
      <c r="H10" s="10">
        <v>47</v>
      </c>
      <c r="I10" s="10">
        <v>85</v>
      </c>
      <c r="J10" s="10">
        <v>70</v>
      </c>
      <c r="K10" s="10">
        <v>10</v>
      </c>
      <c r="L10" s="10">
        <v>29</v>
      </c>
      <c r="M10" s="10">
        <v>17</v>
      </c>
      <c r="O10" s="14">
        <f>B10/B9</f>
        <v>0.98550724637681164</v>
      </c>
      <c r="P10" s="14">
        <f t="shared" si="28"/>
        <v>1.069672131147541</v>
      </c>
      <c r="Q10" s="14">
        <f t="shared" si="29"/>
        <v>1.1980676328502415</v>
      </c>
      <c r="R10" s="14">
        <f t="shared" si="30"/>
        <v>0.5</v>
      </c>
      <c r="S10" s="14">
        <f t="shared" si="31"/>
        <v>1.75</v>
      </c>
      <c r="T10" s="14">
        <f t="shared" si="32"/>
        <v>0.77419354838709675</v>
      </c>
      <c r="U10" s="14">
        <f t="shared" si="33"/>
        <v>0.77049180327868849</v>
      </c>
      <c r="V10" s="14">
        <f t="shared" si="34"/>
        <v>1.3492063492063493</v>
      </c>
      <c r="W10" s="14">
        <f t="shared" si="35"/>
        <v>1.2280701754385965</v>
      </c>
      <c r="X10" s="14">
        <f t="shared" si="36"/>
        <v>0.52631578947368418</v>
      </c>
      <c r="Y10" s="14">
        <f t="shared" si="37"/>
        <v>1.2608695652173914</v>
      </c>
      <c r="Z10" s="14">
        <f t="shared" si="38"/>
        <v>0.68</v>
      </c>
      <c r="AA10" s="13">
        <f t="shared" si="15"/>
        <v>0.77049180327868849</v>
      </c>
      <c r="AB10" s="13">
        <f t="shared" si="16"/>
        <v>1.3492063492063493</v>
      </c>
      <c r="AC10" s="13">
        <f t="shared" si="17"/>
        <v>1.2280701754385965</v>
      </c>
      <c r="AD10" s="13">
        <f t="shared" si="18"/>
        <v>0.52631578947368418</v>
      </c>
      <c r="AE10" s="13">
        <f t="shared" si="19"/>
        <v>1.2608695652173914</v>
      </c>
      <c r="AF10" s="13">
        <f t="shared" si="20"/>
        <v>0.68</v>
      </c>
      <c r="AG10" s="13">
        <f t="shared" si="21"/>
        <v>0.98550724637681164</v>
      </c>
      <c r="AH10" s="13">
        <f t="shared" si="13"/>
        <v>1.069672131147541</v>
      </c>
      <c r="AI10" s="13">
        <f t="shared" si="13"/>
        <v>1.1980676328502415</v>
      </c>
      <c r="AJ10" s="13">
        <f t="shared" si="13"/>
        <v>0.5</v>
      </c>
      <c r="AK10" s="13">
        <f t="shared" si="13"/>
        <v>1.75</v>
      </c>
      <c r="AL10" s="13">
        <f t="shared" si="13"/>
        <v>0.77419354838709675</v>
      </c>
      <c r="AM10" s="13">
        <f t="shared" si="22"/>
        <v>0.77049180327868849</v>
      </c>
      <c r="AN10" s="13">
        <f t="shared" si="23"/>
        <v>1.3492063492063493</v>
      </c>
      <c r="AO10" s="13">
        <f t="shared" si="24"/>
        <v>1.2280701754385965</v>
      </c>
      <c r="AP10" s="13">
        <f t="shared" si="25"/>
        <v>0.52631578947368418</v>
      </c>
      <c r="AQ10" s="13">
        <f t="shared" si="26"/>
        <v>1.2608695652173914</v>
      </c>
      <c r="AR10" s="13">
        <f t="shared" si="27"/>
        <v>0.68</v>
      </c>
    </row>
    <row r="11" spans="1:44" x14ac:dyDescent="0.35">
      <c r="A11" s="9" t="s">
        <v>30</v>
      </c>
      <c r="B11" s="10">
        <v>109</v>
      </c>
      <c r="C11" s="10">
        <v>252</v>
      </c>
      <c r="D11" s="10">
        <v>251</v>
      </c>
      <c r="E11" s="10">
        <v>12</v>
      </c>
      <c r="F11" s="10">
        <v>14</v>
      </c>
      <c r="G11" s="10">
        <v>19</v>
      </c>
      <c r="H11" s="10">
        <v>88</v>
      </c>
      <c r="I11" s="10">
        <v>50</v>
      </c>
      <c r="J11" s="10">
        <v>43</v>
      </c>
      <c r="K11" s="10">
        <v>16</v>
      </c>
      <c r="L11" s="10">
        <v>18</v>
      </c>
      <c r="M11" s="10">
        <v>12</v>
      </c>
      <c r="O11" s="14">
        <f>B11/B10</f>
        <v>1.6029411764705883</v>
      </c>
      <c r="P11" s="14">
        <f t="shared" si="28"/>
        <v>0.96551724137931039</v>
      </c>
      <c r="Q11" s="14">
        <f t="shared" si="29"/>
        <v>1.0120967741935485</v>
      </c>
      <c r="R11" s="14">
        <f t="shared" si="30"/>
        <v>0.8</v>
      </c>
      <c r="S11" s="14">
        <f t="shared" si="31"/>
        <v>0.2857142857142857</v>
      </c>
      <c r="T11" s="14">
        <f t="shared" si="32"/>
        <v>0.79166666666666663</v>
      </c>
      <c r="U11" s="14">
        <f t="shared" si="33"/>
        <v>1.8723404255319149</v>
      </c>
      <c r="V11" s="14">
        <f t="shared" si="34"/>
        <v>0.58823529411764708</v>
      </c>
      <c r="W11" s="14">
        <f t="shared" si="35"/>
        <v>0.61428571428571432</v>
      </c>
      <c r="X11" s="14">
        <f t="shared" si="36"/>
        <v>1.6</v>
      </c>
      <c r="Y11" s="14">
        <f t="shared" si="37"/>
        <v>0.62068965517241381</v>
      </c>
      <c r="Z11" s="14">
        <f t="shared" si="38"/>
        <v>0.70588235294117652</v>
      </c>
      <c r="AA11" s="13">
        <f t="shared" si="15"/>
        <v>1.8723404255319149</v>
      </c>
      <c r="AB11" s="13">
        <f t="shared" si="16"/>
        <v>0.58823529411764708</v>
      </c>
      <c r="AC11" s="13">
        <f t="shared" si="17"/>
        <v>0.61428571428571432</v>
      </c>
      <c r="AD11" s="13">
        <f t="shared" si="18"/>
        <v>1.6</v>
      </c>
      <c r="AE11" s="13">
        <f t="shared" si="19"/>
        <v>0.62068965517241381</v>
      </c>
      <c r="AF11" s="13">
        <f t="shared" si="20"/>
        <v>0.70588235294117652</v>
      </c>
      <c r="AG11" s="13">
        <f t="shared" si="21"/>
        <v>1.6029411764705883</v>
      </c>
      <c r="AH11" s="13">
        <f t="shared" si="13"/>
        <v>0.96551724137931039</v>
      </c>
      <c r="AI11" s="13">
        <f t="shared" si="13"/>
        <v>1.0120967741935485</v>
      </c>
      <c r="AJ11" s="13">
        <f t="shared" si="13"/>
        <v>0.8</v>
      </c>
      <c r="AK11" s="13">
        <f t="shared" si="13"/>
        <v>0.2857142857142857</v>
      </c>
      <c r="AL11" s="13">
        <f t="shared" si="13"/>
        <v>0.79166666666666663</v>
      </c>
      <c r="AM11" s="13">
        <f t="shared" si="22"/>
        <v>1.8723404255319149</v>
      </c>
      <c r="AN11" s="13">
        <f t="shared" si="23"/>
        <v>0.58823529411764708</v>
      </c>
      <c r="AO11" s="13">
        <f t="shared" si="24"/>
        <v>0.61428571428571432</v>
      </c>
      <c r="AP11" s="13">
        <f t="shared" si="25"/>
        <v>1.6</v>
      </c>
      <c r="AQ11" s="13">
        <f t="shared" si="26"/>
        <v>0.62068965517241381</v>
      </c>
      <c r="AR11" s="13">
        <f t="shared" si="27"/>
        <v>0.70588235294117652</v>
      </c>
    </row>
    <row r="12" spans="1:44" x14ac:dyDescent="0.35">
      <c r="A12" s="9" t="s">
        <v>31</v>
      </c>
      <c r="B12" s="10">
        <v>140</v>
      </c>
      <c r="C12" s="10">
        <v>254</v>
      </c>
      <c r="D12" s="10">
        <v>308</v>
      </c>
      <c r="E12" s="10">
        <v>54</v>
      </c>
      <c r="F12" s="10">
        <v>28</v>
      </c>
      <c r="G12" s="10">
        <v>50</v>
      </c>
      <c r="H12" s="10">
        <v>122</v>
      </c>
      <c r="I12" s="10">
        <v>181</v>
      </c>
      <c r="J12" s="10">
        <v>118</v>
      </c>
      <c r="K12" s="10">
        <v>46</v>
      </c>
      <c r="L12" s="10">
        <v>71</v>
      </c>
      <c r="M12" s="10">
        <v>58</v>
      </c>
      <c r="O12" s="14">
        <f t="shared" si="28"/>
        <v>1.2844036697247707</v>
      </c>
      <c r="P12" s="14">
        <f t="shared" si="28"/>
        <v>1.0079365079365079</v>
      </c>
      <c r="Q12" s="14">
        <f t="shared" si="29"/>
        <v>1.2270916334661355</v>
      </c>
      <c r="R12" s="14">
        <f t="shared" si="30"/>
        <v>4.5</v>
      </c>
      <c r="S12" s="14">
        <f t="shared" si="31"/>
        <v>2</v>
      </c>
      <c r="T12" s="14">
        <f t="shared" si="32"/>
        <v>2.6315789473684212</v>
      </c>
      <c r="U12" s="14">
        <f t="shared" si="33"/>
        <v>1.3863636363636365</v>
      </c>
      <c r="V12" s="14">
        <f t="shared" si="34"/>
        <v>3.62</v>
      </c>
      <c r="W12" s="14">
        <f t="shared" si="35"/>
        <v>2.7441860465116279</v>
      </c>
      <c r="X12" s="14">
        <f t="shared" si="36"/>
        <v>2.875</v>
      </c>
      <c r="Y12" s="14">
        <f t="shared" si="37"/>
        <v>3.9444444444444446</v>
      </c>
      <c r="Z12" s="14">
        <f t="shared" si="38"/>
        <v>4.833333333333333</v>
      </c>
      <c r="AA12" s="13">
        <f t="shared" si="15"/>
        <v>1.3863636363636365</v>
      </c>
      <c r="AB12" s="13">
        <f t="shared" si="16"/>
        <v>3.62</v>
      </c>
      <c r="AC12" s="13">
        <f t="shared" si="17"/>
        <v>2.7441860465116279</v>
      </c>
      <c r="AD12" s="13">
        <f t="shared" si="18"/>
        <v>2.875</v>
      </c>
      <c r="AE12" s="13">
        <f t="shared" si="19"/>
        <v>3.9444444444444446</v>
      </c>
      <c r="AF12" s="13">
        <f t="shared" si="20"/>
        <v>4.833333333333333</v>
      </c>
      <c r="AG12" s="13">
        <f t="shared" si="21"/>
        <v>1.2844036697247707</v>
      </c>
      <c r="AH12" s="13">
        <f t="shared" si="13"/>
        <v>1.0079365079365079</v>
      </c>
      <c r="AI12" s="13">
        <f t="shared" si="13"/>
        <v>1.2270916334661355</v>
      </c>
      <c r="AJ12" s="13">
        <f t="shared" si="13"/>
        <v>4.5</v>
      </c>
      <c r="AK12" s="13">
        <f t="shared" si="13"/>
        <v>2</v>
      </c>
      <c r="AL12" s="13">
        <f t="shared" si="13"/>
        <v>2.6315789473684212</v>
      </c>
      <c r="AM12" s="13">
        <f t="shared" si="22"/>
        <v>1.3863636363636365</v>
      </c>
      <c r="AN12" s="13">
        <f t="shared" si="23"/>
        <v>3.62</v>
      </c>
      <c r="AO12" s="13">
        <f t="shared" si="24"/>
        <v>2.7441860465116279</v>
      </c>
      <c r="AP12" s="13">
        <f t="shared" si="25"/>
        <v>2.875</v>
      </c>
      <c r="AQ12" s="13">
        <f t="shared" si="26"/>
        <v>3.9444444444444446</v>
      </c>
      <c r="AR12" s="13">
        <f t="shared" si="27"/>
        <v>4.833333333333333</v>
      </c>
    </row>
    <row r="13" spans="1:44" x14ac:dyDescent="0.35">
      <c r="A13" s="9" t="s">
        <v>32</v>
      </c>
      <c r="B13" s="10">
        <v>124</v>
      </c>
      <c r="C13" s="10">
        <v>216</v>
      </c>
      <c r="D13" s="10">
        <v>277</v>
      </c>
      <c r="E13" s="10">
        <v>53</v>
      </c>
      <c r="F13" s="10">
        <v>44</v>
      </c>
      <c r="G13" s="10">
        <v>55</v>
      </c>
      <c r="H13" s="10">
        <v>59</v>
      </c>
      <c r="I13" s="10">
        <v>106</v>
      </c>
      <c r="J13" s="10">
        <v>61</v>
      </c>
      <c r="K13" s="10">
        <v>46</v>
      </c>
      <c r="L13" s="10">
        <v>40</v>
      </c>
      <c r="M13" s="10">
        <v>24</v>
      </c>
      <c r="O13" s="14">
        <f t="shared" si="28"/>
        <v>0.88571428571428568</v>
      </c>
      <c r="P13" s="14">
        <f>C13/C12</f>
        <v>0.85039370078740162</v>
      </c>
      <c r="Q13" s="14">
        <f t="shared" si="29"/>
        <v>0.89935064935064934</v>
      </c>
      <c r="R13" s="14">
        <f t="shared" si="30"/>
        <v>0.98148148148148151</v>
      </c>
      <c r="S13" s="14">
        <f t="shared" si="31"/>
        <v>1.5714285714285714</v>
      </c>
      <c r="T13" s="14">
        <f t="shared" si="32"/>
        <v>1.1000000000000001</v>
      </c>
      <c r="U13" s="14">
        <f t="shared" si="33"/>
        <v>0.48360655737704916</v>
      </c>
      <c r="V13" s="14">
        <f t="shared" si="34"/>
        <v>0.58563535911602205</v>
      </c>
      <c r="W13" s="14">
        <f t="shared" si="35"/>
        <v>0.51694915254237284</v>
      </c>
      <c r="X13" s="14">
        <f t="shared" si="36"/>
        <v>1</v>
      </c>
      <c r="Y13" s="14">
        <f t="shared" si="37"/>
        <v>0.56338028169014087</v>
      </c>
      <c r="Z13" s="14">
        <f t="shared" si="38"/>
        <v>0.41379310344827586</v>
      </c>
      <c r="AA13" s="13">
        <f t="shared" si="15"/>
        <v>0.48360655737704916</v>
      </c>
      <c r="AB13" s="13">
        <f t="shared" si="16"/>
        <v>0.58563535911602205</v>
      </c>
      <c r="AC13" s="13">
        <f t="shared" si="17"/>
        <v>0.51694915254237284</v>
      </c>
      <c r="AD13" s="13">
        <f t="shared" si="18"/>
        <v>1</v>
      </c>
      <c r="AE13" s="13">
        <f t="shared" si="19"/>
        <v>0.56338028169014087</v>
      </c>
      <c r="AF13" s="13">
        <f t="shared" si="20"/>
        <v>0.41379310344827586</v>
      </c>
      <c r="AG13" s="13">
        <f t="shared" si="21"/>
        <v>0.88571428571428568</v>
      </c>
      <c r="AH13" s="13">
        <f t="shared" si="13"/>
        <v>0.85039370078740162</v>
      </c>
      <c r="AI13" s="13">
        <f t="shared" si="13"/>
        <v>0.89935064935064934</v>
      </c>
      <c r="AJ13" s="13">
        <f t="shared" si="13"/>
        <v>0.98148148148148151</v>
      </c>
      <c r="AK13" s="13">
        <f t="shared" si="13"/>
        <v>1.5714285714285714</v>
      </c>
      <c r="AL13" s="13">
        <f t="shared" si="13"/>
        <v>1.1000000000000001</v>
      </c>
      <c r="AM13" s="13">
        <f t="shared" si="22"/>
        <v>0.48360655737704916</v>
      </c>
      <c r="AN13" s="13">
        <f t="shared" si="23"/>
        <v>0.58563535911602205</v>
      </c>
      <c r="AO13" s="13">
        <f t="shared" si="24"/>
        <v>0.51694915254237284</v>
      </c>
      <c r="AP13" s="13">
        <f t="shared" si="25"/>
        <v>1</v>
      </c>
      <c r="AQ13" s="13">
        <f t="shared" si="26"/>
        <v>0.56338028169014087</v>
      </c>
      <c r="AR13" s="13">
        <f t="shared" si="27"/>
        <v>0.41379310344827586</v>
      </c>
    </row>
    <row r="14" spans="1:44" x14ac:dyDescent="0.35">
      <c r="A14" s="9" t="s">
        <v>33</v>
      </c>
      <c r="B14" s="10">
        <v>118</v>
      </c>
      <c r="C14" s="10">
        <v>345</v>
      </c>
      <c r="D14" s="10">
        <v>316</v>
      </c>
      <c r="E14" s="10">
        <v>106</v>
      </c>
      <c r="F14" s="10">
        <v>196</v>
      </c>
      <c r="G14" s="10">
        <v>112</v>
      </c>
      <c r="H14" s="10">
        <v>98</v>
      </c>
      <c r="I14" s="10">
        <v>154</v>
      </c>
      <c r="J14" s="10">
        <v>106</v>
      </c>
      <c r="K14" s="10">
        <v>76</v>
      </c>
      <c r="L14" s="10">
        <v>97</v>
      </c>
      <c r="M14" s="10">
        <v>62</v>
      </c>
      <c r="N14" s="9" t="s">
        <v>50</v>
      </c>
      <c r="O14" s="14">
        <f t="shared" si="28"/>
        <v>0.95161290322580649</v>
      </c>
      <c r="P14" s="14">
        <f t="shared" si="28"/>
        <v>1.5972222222222223</v>
      </c>
      <c r="Q14" s="14">
        <f t="shared" si="29"/>
        <v>1.1407942238267148</v>
      </c>
      <c r="R14" s="14">
        <f t="shared" si="30"/>
        <v>2</v>
      </c>
      <c r="S14" s="14">
        <f t="shared" si="31"/>
        <v>4.4545454545454541</v>
      </c>
      <c r="T14" s="14">
        <f t="shared" si="32"/>
        <v>2.0363636363636362</v>
      </c>
      <c r="U14" s="14">
        <f t="shared" si="33"/>
        <v>1.6610169491525424</v>
      </c>
      <c r="V14" s="14">
        <f t="shared" si="34"/>
        <v>1.4528301886792452</v>
      </c>
      <c r="W14" s="14">
        <f t="shared" si="35"/>
        <v>1.7377049180327868</v>
      </c>
      <c r="X14" s="14">
        <f t="shared" si="36"/>
        <v>1.6521739130434783</v>
      </c>
      <c r="Y14" s="14">
        <f t="shared" si="37"/>
        <v>2.4249999999999998</v>
      </c>
      <c r="Z14" s="14">
        <f t="shared" si="38"/>
        <v>2.5833333333333335</v>
      </c>
      <c r="AA14" s="13">
        <f t="shared" si="15"/>
        <v>1.6610169491525424</v>
      </c>
      <c r="AB14" s="13">
        <f t="shared" si="16"/>
        <v>1.4528301886792452</v>
      </c>
      <c r="AC14" s="13">
        <f t="shared" si="17"/>
        <v>1.7377049180327868</v>
      </c>
      <c r="AD14" s="13">
        <f t="shared" si="18"/>
        <v>1.6521739130434783</v>
      </c>
      <c r="AE14" s="13">
        <f t="shared" si="19"/>
        <v>2.4249999999999998</v>
      </c>
      <c r="AF14" s="13">
        <f t="shared" si="20"/>
        <v>2.5833333333333335</v>
      </c>
      <c r="AG14" s="13">
        <f t="shared" si="21"/>
        <v>0.95161290322580649</v>
      </c>
      <c r="AH14" s="13">
        <f t="shared" si="13"/>
        <v>1.5972222222222223</v>
      </c>
      <c r="AI14" s="13">
        <f t="shared" si="13"/>
        <v>1.1407942238267148</v>
      </c>
      <c r="AJ14" s="13">
        <f t="shared" si="13"/>
        <v>2</v>
      </c>
      <c r="AK14" s="13">
        <f t="shared" si="13"/>
        <v>4.4545454545454541</v>
      </c>
      <c r="AL14" s="13">
        <f t="shared" si="13"/>
        <v>2.0363636363636362</v>
      </c>
      <c r="AM14" s="13">
        <f t="shared" si="22"/>
        <v>1.6610169491525424</v>
      </c>
      <c r="AN14" s="13">
        <f t="shared" si="23"/>
        <v>1.4528301886792452</v>
      </c>
      <c r="AO14" s="13">
        <f t="shared" si="24"/>
        <v>1.7377049180327868</v>
      </c>
      <c r="AP14" s="13">
        <f t="shared" si="25"/>
        <v>1.6521739130434783</v>
      </c>
      <c r="AQ14" s="13">
        <f t="shared" si="26"/>
        <v>2.4249999999999998</v>
      </c>
      <c r="AR14" s="13">
        <f t="shared" si="27"/>
        <v>2.5833333333333335</v>
      </c>
    </row>
    <row r="15" spans="1:44" x14ac:dyDescent="0.35">
      <c r="A15" s="9" t="s">
        <v>34</v>
      </c>
      <c r="B15" s="10">
        <v>145</v>
      </c>
      <c r="C15" s="10">
        <v>268</v>
      </c>
      <c r="D15" s="10">
        <v>336</v>
      </c>
      <c r="E15" s="10">
        <v>97</v>
      </c>
      <c r="F15" s="10">
        <v>139</v>
      </c>
      <c r="G15" s="10">
        <v>95</v>
      </c>
      <c r="H15" s="10">
        <v>113</v>
      </c>
      <c r="I15" s="10">
        <v>89</v>
      </c>
      <c r="J15" s="10">
        <v>79</v>
      </c>
      <c r="K15" s="10">
        <v>82</v>
      </c>
      <c r="L15" s="10">
        <v>56</v>
      </c>
      <c r="M15" s="10">
        <v>39</v>
      </c>
      <c r="N15" s="22">
        <v>100</v>
      </c>
      <c r="O15" s="14">
        <f t="shared" si="28"/>
        <v>1.228813559322034</v>
      </c>
      <c r="P15" s="14">
        <f t="shared" si="28"/>
        <v>0.77681159420289858</v>
      </c>
      <c r="Q15" s="14">
        <f t="shared" si="29"/>
        <v>1.0632911392405062</v>
      </c>
      <c r="R15" s="14">
        <f t="shared" si="30"/>
        <v>0.91509433962264153</v>
      </c>
      <c r="S15" s="14">
        <f t="shared" si="31"/>
        <v>0.70918367346938771</v>
      </c>
      <c r="T15" s="14">
        <f t="shared" si="32"/>
        <v>0.8482142857142857</v>
      </c>
      <c r="U15" s="14">
        <f t="shared" si="33"/>
        <v>1.153061224489796</v>
      </c>
      <c r="V15" s="14">
        <f t="shared" si="34"/>
        <v>0.57792207792207795</v>
      </c>
      <c r="W15" s="14">
        <f t="shared" si="35"/>
        <v>0.74528301886792447</v>
      </c>
      <c r="X15" s="14">
        <f t="shared" si="36"/>
        <v>1.0789473684210527</v>
      </c>
      <c r="Y15" s="14">
        <f t="shared" si="37"/>
        <v>0.57731958762886593</v>
      </c>
      <c r="Z15" s="14">
        <f t="shared" si="38"/>
        <v>0.62903225806451613</v>
      </c>
      <c r="AA15" s="13">
        <f t="shared" si="15"/>
        <v>1.153061224489796</v>
      </c>
      <c r="AB15" s="13">
        <f t="shared" si="16"/>
        <v>0.57792207792207795</v>
      </c>
      <c r="AC15" s="13">
        <f t="shared" si="17"/>
        <v>0.74528301886792447</v>
      </c>
      <c r="AD15" s="13">
        <f t="shared" si="18"/>
        <v>1.0789473684210527</v>
      </c>
      <c r="AE15" s="13">
        <f t="shared" si="19"/>
        <v>0.57731958762886593</v>
      </c>
      <c r="AF15" s="13">
        <f t="shared" si="20"/>
        <v>0.62903225806451613</v>
      </c>
      <c r="AG15" s="13">
        <f t="shared" si="21"/>
        <v>1.228813559322034</v>
      </c>
      <c r="AH15" s="13">
        <f t="shared" si="13"/>
        <v>0.77681159420289858</v>
      </c>
      <c r="AI15" s="13">
        <f t="shared" si="13"/>
        <v>1.0632911392405062</v>
      </c>
      <c r="AJ15" s="13">
        <f t="shared" si="13"/>
        <v>0.91509433962264153</v>
      </c>
      <c r="AK15" s="13">
        <f t="shared" si="13"/>
        <v>0.70918367346938771</v>
      </c>
      <c r="AL15" s="13">
        <f t="shared" si="13"/>
        <v>0.8482142857142857</v>
      </c>
      <c r="AM15" s="13">
        <f t="shared" si="22"/>
        <v>1.153061224489796</v>
      </c>
      <c r="AN15" s="13">
        <f t="shared" si="23"/>
        <v>0.57792207792207795</v>
      </c>
      <c r="AO15" s="13">
        <f t="shared" si="24"/>
        <v>0.74528301886792447</v>
      </c>
      <c r="AP15" s="13">
        <f t="shared" si="25"/>
        <v>1.0789473684210527</v>
      </c>
      <c r="AQ15" s="13">
        <f t="shared" si="26"/>
        <v>0.57731958762886593</v>
      </c>
      <c r="AR15" s="13">
        <f t="shared" si="27"/>
        <v>0.62903225806451613</v>
      </c>
    </row>
    <row r="16" spans="1:44" x14ac:dyDescent="0.35">
      <c r="A16" s="9" t="s">
        <v>35</v>
      </c>
      <c r="B16" s="10">
        <v>242</v>
      </c>
      <c r="C16" s="10">
        <v>264</v>
      </c>
      <c r="D16" s="10">
        <v>316</v>
      </c>
      <c r="E16" s="10">
        <v>172</v>
      </c>
      <c r="F16" s="10">
        <v>137</v>
      </c>
      <c r="G16" s="10">
        <v>147</v>
      </c>
      <c r="H16" s="10">
        <v>131</v>
      </c>
      <c r="I16" s="10">
        <v>147</v>
      </c>
      <c r="J16" s="10">
        <v>85</v>
      </c>
      <c r="K16" s="10">
        <v>109</v>
      </c>
      <c r="L16" s="10">
        <v>98</v>
      </c>
      <c r="M16" s="10">
        <v>109</v>
      </c>
      <c r="N16" s="9">
        <f>ROUND(N15*O16,0)</f>
        <v>167</v>
      </c>
      <c r="O16" s="14">
        <f t="shared" si="28"/>
        <v>1.6689655172413793</v>
      </c>
      <c r="P16" s="14">
        <f t="shared" si="28"/>
        <v>0.9850746268656716</v>
      </c>
      <c r="Q16" s="14">
        <f t="shared" si="29"/>
        <v>0.94047619047619047</v>
      </c>
      <c r="R16" s="14">
        <f t="shared" si="30"/>
        <v>1.7731958762886597</v>
      </c>
      <c r="S16" s="14">
        <f t="shared" si="31"/>
        <v>0.98561151079136688</v>
      </c>
      <c r="T16" s="14">
        <f t="shared" si="32"/>
        <v>1.5473684210526315</v>
      </c>
      <c r="U16" s="14">
        <f t="shared" si="33"/>
        <v>1.1592920353982301</v>
      </c>
      <c r="V16" s="14">
        <f t="shared" si="34"/>
        <v>1.651685393258427</v>
      </c>
      <c r="W16" s="14">
        <f t="shared" si="35"/>
        <v>1.0759493670886076</v>
      </c>
      <c r="X16" s="14">
        <f t="shared" si="36"/>
        <v>1.3292682926829269</v>
      </c>
      <c r="Y16" s="14">
        <f t="shared" si="37"/>
        <v>1.75</v>
      </c>
      <c r="Z16" s="14">
        <f t="shared" si="38"/>
        <v>2.7948717948717947</v>
      </c>
      <c r="AA16" s="13">
        <f t="shared" si="15"/>
        <v>1.1592920353982301</v>
      </c>
      <c r="AB16" s="13">
        <f t="shared" si="16"/>
        <v>1.651685393258427</v>
      </c>
      <c r="AC16" s="13">
        <f t="shared" si="17"/>
        <v>1.0759493670886076</v>
      </c>
      <c r="AD16" s="13">
        <f t="shared" si="18"/>
        <v>1.3292682926829269</v>
      </c>
      <c r="AE16" s="13">
        <f t="shared" si="19"/>
        <v>1.75</v>
      </c>
      <c r="AF16" s="13">
        <f t="shared" si="20"/>
        <v>2.7948717948717947</v>
      </c>
      <c r="AG16" s="13">
        <f t="shared" si="21"/>
        <v>1.6689655172413793</v>
      </c>
      <c r="AH16" s="13">
        <f t="shared" si="13"/>
        <v>0.9850746268656716</v>
      </c>
      <c r="AI16" s="13">
        <f t="shared" si="13"/>
        <v>0.94047619047619047</v>
      </c>
      <c r="AJ16" s="13">
        <f t="shared" si="13"/>
        <v>1.7731958762886597</v>
      </c>
      <c r="AK16" s="13">
        <f t="shared" si="13"/>
        <v>0.98561151079136688</v>
      </c>
      <c r="AL16" s="13">
        <f t="shared" si="13"/>
        <v>1.5473684210526315</v>
      </c>
      <c r="AM16" s="13">
        <f t="shared" si="22"/>
        <v>1.1592920353982301</v>
      </c>
      <c r="AN16" s="13">
        <f t="shared" si="23"/>
        <v>1.651685393258427</v>
      </c>
      <c r="AO16" s="13">
        <f t="shared" si="24"/>
        <v>1.0759493670886076</v>
      </c>
      <c r="AP16" s="13">
        <f t="shared" si="25"/>
        <v>1.3292682926829269</v>
      </c>
      <c r="AQ16" s="13">
        <f t="shared" si="26"/>
        <v>1.75</v>
      </c>
      <c r="AR16" s="13">
        <f t="shared" si="27"/>
        <v>2.7948717948717947</v>
      </c>
    </row>
    <row r="17" spans="1:44" x14ac:dyDescent="0.35">
      <c r="A17" s="9" t="s">
        <v>36</v>
      </c>
      <c r="B17" s="10">
        <v>163</v>
      </c>
      <c r="C17" s="10">
        <v>369</v>
      </c>
      <c r="D17" s="10">
        <v>238</v>
      </c>
      <c r="E17" s="10">
        <v>208</v>
      </c>
      <c r="F17" s="10">
        <v>224</v>
      </c>
      <c r="G17" s="10">
        <v>161</v>
      </c>
      <c r="H17" s="10">
        <v>96</v>
      </c>
      <c r="I17" s="10">
        <v>170</v>
      </c>
      <c r="J17" s="10">
        <v>120</v>
      </c>
      <c r="K17" s="10">
        <v>114</v>
      </c>
      <c r="L17" s="10">
        <v>123</v>
      </c>
      <c r="M17" s="10">
        <v>151</v>
      </c>
      <c r="N17" s="9">
        <f>ROUND(N16*O17,0)</f>
        <v>112</v>
      </c>
      <c r="O17" s="14">
        <f t="shared" si="28"/>
        <v>0.67355371900826444</v>
      </c>
      <c r="P17" s="14">
        <f t="shared" si="28"/>
        <v>1.3977272727272727</v>
      </c>
      <c r="Q17" s="14">
        <f t="shared" si="29"/>
        <v>0.75316455696202533</v>
      </c>
      <c r="R17" s="14">
        <f t="shared" si="30"/>
        <v>1.2093023255813953</v>
      </c>
      <c r="S17" s="14">
        <f t="shared" si="31"/>
        <v>1.635036496350365</v>
      </c>
      <c r="T17" s="14">
        <f t="shared" si="32"/>
        <v>1.0952380952380953</v>
      </c>
      <c r="U17" s="14">
        <f t="shared" si="33"/>
        <v>0.73282442748091603</v>
      </c>
      <c r="V17" s="14">
        <f t="shared" si="34"/>
        <v>1.1564625850340136</v>
      </c>
      <c r="W17" s="14">
        <f t="shared" si="35"/>
        <v>1.411764705882353</v>
      </c>
      <c r="X17" s="14">
        <f t="shared" si="36"/>
        <v>1.0458715596330275</v>
      </c>
      <c r="Y17" s="14">
        <f t="shared" si="37"/>
        <v>1.2551020408163265</v>
      </c>
      <c r="Z17" s="14">
        <f t="shared" si="38"/>
        <v>1.3853211009174311</v>
      </c>
      <c r="AA17" s="13">
        <f t="shared" si="15"/>
        <v>0.73282442748091603</v>
      </c>
      <c r="AB17" s="13">
        <f t="shared" si="16"/>
        <v>1.1564625850340136</v>
      </c>
      <c r="AC17" s="13">
        <f t="shared" si="17"/>
        <v>1.411764705882353</v>
      </c>
      <c r="AD17" s="13">
        <f t="shared" si="18"/>
        <v>1.0458715596330275</v>
      </c>
      <c r="AE17" s="13">
        <f t="shared" si="19"/>
        <v>1.2551020408163265</v>
      </c>
      <c r="AF17" s="13">
        <f t="shared" si="20"/>
        <v>1.3853211009174311</v>
      </c>
      <c r="AG17" s="13">
        <f t="shared" si="21"/>
        <v>0.67355371900826444</v>
      </c>
      <c r="AH17" s="13">
        <f t="shared" si="13"/>
        <v>1.3977272727272727</v>
      </c>
      <c r="AI17" s="13">
        <f t="shared" si="13"/>
        <v>0.75316455696202533</v>
      </c>
      <c r="AJ17" s="13">
        <f t="shared" si="13"/>
        <v>1.2093023255813953</v>
      </c>
      <c r="AK17" s="13">
        <f t="shared" si="13"/>
        <v>1.635036496350365</v>
      </c>
      <c r="AL17" s="13">
        <f t="shared" si="13"/>
        <v>1.0952380952380953</v>
      </c>
      <c r="AM17" s="13">
        <f t="shared" si="22"/>
        <v>0.73282442748091603</v>
      </c>
      <c r="AN17" s="13">
        <f t="shared" si="23"/>
        <v>1.1564625850340136</v>
      </c>
      <c r="AO17" s="13">
        <f t="shared" si="24"/>
        <v>1.411764705882353</v>
      </c>
      <c r="AP17" s="13">
        <f t="shared" si="25"/>
        <v>1.0458715596330275</v>
      </c>
      <c r="AQ17" s="13">
        <f t="shared" si="26"/>
        <v>1.2551020408163265</v>
      </c>
      <c r="AR17" s="13">
        <f t="shared" si="27"/>
        <v>1.3853211009174311</v>
      </c>
    </row>
    <row r="18" spans="1:44" x14ac:dyDescent="0.35">
      <c r="A18" s="9" t="s">
        <v>37</v>
      </c>
      <c r="B18" s="10">
        <v>128</v>
      </c>
      <c r="C18" s="10">
        <v>366</v>
      </c>
      <c r="D18" s="10">
        <v>317</v>
      </c>
      <c r="E18" s="10">
        <v>126</v>
      </c>
      <c r="F18" s="10">
        <v>274</v>
      </c>
      <c r="G18" s="10">
        <v>142</v>
      </c>
      <c r="H18" s="10">
        <v>31</v>
      </c>
      <c r="I18" s="10">
        <v>151</v>
      </c>
      <c r="J18" s="10">
        <v>118</v>
      </c>
      <c r="K18" s="10">
        <v>10</v>
      </c>
      <c r="L18" s="10">
        <v>106</v>
      </c>
      <c r="M18" s="10">
        <v>89</v>
      </c>
      <c r="N18" s="9">
        <f t="shared" ref="N17:N21" si="39">ROUND(N17*O18,0)</f>
        <v>88</v>
      </c>
      <c r="O18" s="14">
        <f t="shared" si="28"/>
        <v>0.78527607361963192</v>
      </c>
      <c r="P18" s="14">
        <f t="shared" si="28"/>
        <v>0.99186991869918695</v>
      </c>
      <c r="Q18" s="14">
        <f t="shared" si="29"/>
        <v>1.3319327731092436</v>
      </c>
      <c r="R18" s="14">
        <f t="shared" si="30"/>
        <v>0.60576923076923073</v>
      </c>
      <c r="S18" s="14">
        <f t="shared" si="31"/>
        <v>1.2232142857142858</v>
      </c>
      <c r="T18" s="14">
        <f t="shared" si="32"/>
        <v>0.88198757763975155</v>
      </c>
      <c r="U18" s="14">
        <f t="shared" si="33"/>
        <v>0.32291666666666669</v>
      </c>
      <c r="V18" s="14">
        <f t="shared" si="34"/>
        <v>0.88823529411764701</v>
      </c>
      <c r="W18" s="14">
        <f t="shared" si="35"/>
        <v>0.98333333333333328</v>
      </c>
      <c r="X18" s="14">
        <f t="shared" si="36"/>
        <v>8.771929824561403E-2</v>
      </c>
      <c r="Y18" s="14">
        <f t="shared" si="37"/>
        <v>0.86178861788617889</v>
      </c>
      <c r="Z18" s="14">
        <f t="shared" si="38"/>
        <v>0.58940397350993379</v>
      </c>
      <c r="AA18" s="13">
        <f t="shared" si="15"/>
        <v>0.32291666666666669</v>
      </c>
      <c r="AB18" s="13">
        <f t="shared" si="16"/>
        <v>0.88823529411764701</v>
      </c>
      <c r="AC18" s="13">
        <f t="shared" si="17"/>
        <v>0.98333333333333328</v>
      </c>
      <c r="AD18" s="13">
        <f t="shared" si="18"/>
        <v>8.771929824561403E-2</v>
      </c>
      <c r="AE18" s="13">
        <f t="shared" si="19"/>
        <v>0.86178861788617889</v>
      </c>
      <c r="AF18" s="13">
        <f t="shared" si="20"/>
        <v>0.58940397350993379</v>
      </c>
      <c r="AG18" s="13">
        <f t="shared" si="21"/>
        <v>0.78527607361963192</v>
      </c>
      <c r="AH18" s="13">
        <f t="shared" si="13"/>
        <v>0.99186991869918695</v>
      </c>
      <c r="AI18" s="13">
        <f t="shared" si="13"/>
        <v>1.3319327731092436</v>
      </c>
      <c r="AJ18" s="13">
        <f t="shared" si="13"/>
        <v>0.60576923076923073</v>
      </c>
      <c r="AK18" s="13">
        <f t="shared" si="13"/>
        <v>1.2232142857142858</v>
      </c>
      <c r="AL18" s="13">
        <f t="shared" si="13"/>
        <v>0.88198757763975155</v>
      </c>
      <c r="AM18" s="13">
        <f t="shared" si="22"/>
        <v>0.32291666666666669</v>
      </c>
      <c r="AN18" s="13">
        <f t="shared" si="23"/>
        <v>0.88823529411764701</v>
      </c>
      <c r="AO18" s="13">
        <f t="shared" si="24"/>
        <v>0.98333333333333328</v>
      </c>
      <c r="AP18" s="13">
        <f t="shared" si="25"/>
        <v>8.771929824561403E-2</v>
      </c>
      <c r="AQ18" s="13">
        <f t="shared" si="26"/>
        <v>0.86178861788617889</v>
      </c>
      <c r="AR18" s="13">
        <f t="shared" si="27"/>
        <v>0.58940397350993379</v>
      </c>
    </row>
    <row r="19" spans="1:44" x14ac:dyDescent="0.35">
      <c r="A19" s="9" t="s">
        <v>38</v>
      </c>
      <c r="B19" s="10">
        <v>0</v>
      </c>
      <c r="C19" s="10">
        <v>364</v>
      </c>
      <c r="D19" s="10">
        <v>206</v>
      </c>
      <c r="E19" s="10">
        <v>0</v>
      </c>
      <c r="F19" s="10">
        <v>264</v>
      </c>
      <c r="G19" s="10">
        <v>220</v>
      </c>
      <c r="H19" s="10">
        <v>0</v>
      </c>
      <c r="I19" s="10">
        <v>82</v>
      </c>
      <c r="J19" s="10">
        <v>53</v>
      </c>
      <c r="K19" s="10">
        <v>0</v>
      </c>
      <c r="L19" s="10">
        <v>141</v>
      </c>
      <c r="M19" s="10">
        <v>27</v>
      </c>
      <c r="N19" s="9">
        <f t="shared" si="39"/>
        <v>69</v>
      </c>
      <c r="O19" s="20">
        <f>O18*P19/P18</f>
        <v>0.78738646349767449</v>
      </c>
      <c r="P19" s="14">
        <f t="shared" si="28"/>
        <v>0.99453551912568305</v>
      </c>
      <c r="Q19" s="14">
        <f t="shared" si="29"/>
        <v>0.64984227129337535</v>
      </c>
      <c r="R19" s="20">
        <f>R18*S19/S18</f>
        <v>0.47715340762386416</v>
      </c>
      <c r="S19" s="14">
        <f t="shared" si="31"/>
        <v>0.96350364963503654</v>
      </c>
      <c r="T19" s="14">
        <f t="shared" si="32"/>
        <v>1.5492957746478873</v>
      </c>
      <c r="U19" s="20">
        <f>U18*V19/V18</f>
        <v>0.19742372410566791</v>
      </c>
      <c r="V19" s="14">
        <f t="shared" si="34"/>
        <v>0.54304635761589404</v>
      </c>
      <c r="W19" s="14">
        <f t="shared" si="35"/>
        <v>0.44915254237288138</v>
      </c>
      <c r="X19" s="20">
        <f>X18*Y19/Y18</f>
        <v>0.1353965636769032</v>
      </c>
      <c r="Y19" s="14">
        <f t="shared" si="37"/>
        <v>1.3301886792452831</v>
      </c>
      <c r="Z19" s="14">
        <f t="shared" si="38"/>
        <v>0.30337078651685395</v>
      </c>
      <c r="AA19" s="13">
        <f t="shared" si="15"/>
        <v>0.19742372410566791</v>
      </c>
      <c r="AB19" s="13">
        <f t="shared" si="16"/>
        <v>0.54304635761589404</v>
      </c>
      <c r="AC19" s="13">
        <f t="shared" si="17"/>
        <v>0.44915254237288138</v>
      </c>
      <c r="AD19" s="13">
        <f t="shared" si="18"/>
        <v>0.1353965636769032</v>
      </c>
      <c r="AE19" s="13">
        <f t="shared" si="19"/>
        <v>1.3301886792452831</v>
      </c>
      <c r="AF19" s="13">
        <f t="shared" si="20"/>
        <v>0.30337078651685395</v>
      </c>
      <c r="AG19" s="13">
        <f t="shared" si="21"/>
        <v>0.78738646349767449</v>
      </c>
      <c r="AH19" s="13">
        <f t="shared" si="13"/>
        <v>0.99453551912568305</v>
      </c>
      <c r="AI19" s="13">
        <f t="shared" si="13"/>
        <v>0.64984227129337535</v>
      </c>
      <c r="AJ19" s="13">
        <f t="shared" si="13"/>
        <v>0.47715340762386416</v>
      </c>
      <c r="AK19" s="13">
        <f t="shared" si="13"/>
        <v>0.96350364963503654</v>
      </c>
      <c r="AL19" s="13">
        <f t="shared" si="13"/>
        <v>1.5492957746478873</v>
      </c>
      <c r="AM19" s="13">
        <f t="shared" si="22"/>
        <v>0.19742372410566791</v>
      </c>
      <c r="AN19" s="13">
        <f t="shared" si="23"/>
        <v>0.54304635761589404</v>
      </c>
      <c r="AO19" s="13">
        <f t="shared" si="24"/>
        <v>0.44915254237288138</v>
      </c>
      <c r="AP19" s="13">
        <f t="shared" si="25"/>
        <v>0.1353965636769032</v>
      </c>
      <c r="AQ19" s="13">
        <f t="shared" si="26"/>
        <v>1.3301886792452831</v>
      </c>
      <c r="AR19" s="13">
        <f t="shared" si="27"/>
        <v>0.30337078651685395</v>
      </c>
    </row>
    <row r="20" spans="1:44" x14ac:dyDescent="0.35">
      <c r="A20" s="9" t="s">
        <v>39</v>
      </c>
      <c r="B20" s="10">
        <v>0</v>
      </c>
      <c r="C20" s="10">
        <v>328</v>
      </c>
      <c r="D20" s="10">
        <v>145</v>
      </c>
      <c r="E20" s="10">
        <v>0</v>
      </c>
      <c r="F20" s="10">
        <v>313</v>
      </c>
      <c r="G20" s="10">
        <v>138</v>
      </c>
      <c r="H20" s="10">
        <v>0</v>
      </c>
      <c r="I20" s="10">
        <v>71</v>
      </c>
      <c r="J20" s="10">
        <v>22</v>
      </c>
      <c r="K20" s="10">
        <v>0</v>
      </c>
      <c r="L20" s="10">
        <v>69</v>
      </c>
      <c r="M20" s="10">
        <v>31</v>
      </c>
      <c r="N20" s="9">
        <f t="shared" si="39"/>
        <v>49</v>
      </c>
      <c r="O20" s="20">
        <f t="shared" ref="O20:O21" si="40">O19*P20/P19</f>
        <v>0.71341150049789304</v>
      </c>
      <c r="P20" s="14">
        <f t="shared" si="28"/>
        <v>0.90109890109890112</v>
      </c>
      <c r="Q20" s="14">
        <f t="shared" si="29"/>
        <v>0.70388349514563109</v>
      </c>
      <c r="R20" s="20">
        <f t="shared" ref="R20:R21" si="41">R19*S20/S19</f>
        <v>0.58714460721759976</v>
      </c>
      <c r="S20" s="14">
        <f t="shared" si="31"/>
        <v>1.1856060606060606</v>
      </c>
      <c r="T20" s="14">
        <f t="shared" si="32"/>
        <v>0.62727272727272732</v>
      </c>
      <c r="U20" s="20">
        <f t="shared" ref="U20:U21" si="42">U19*V20/V19</f>
        <v>0.31477985516610141</v>
      </c>
      <c r="V20" s="14">
        <f t="shared" si="34"/>
        <v>0.86585365853658536</v>
      </c>
      <c r="W20" s="14">
        <f t="shared" si="35"/>
        <v>0.41509433962264153</v>
      </c>
      <c r="X20" s="20">
        <f t="shared" ref="X20:X21" si="43">X19*Y20/Y19</f>
        <v>4.981089818081938E-2</v>
      </c>
      <c r="Y20" s="14">
        <f t="shared" si="37"/>
        <v>0.48936170212765956</v>
      </c>
      <c r="Z20" s="14">
        <f t="shared" si="38"/>
        <v>1.1481481481481481</v>
      </c>
      <c r="AA20" s="13">
        <f t="shared" si="15"/>
        <v>0.31477985516610141</v>
      </c>
      <c r="AB20" s="13">
        <f t="shared" si="16"/>
        <v>0.86585365853658536</v>
      </c>
      <c r="AC20" s="13">
        <f t="shared" si="17"/>
        <v>0.41509433962264153</v>
      </c>
      <c r="AD20" s="13">
        <f t="shared" si="18"/>
        <v>4.981089818081938E-2</v>
      </c>
      <c r="AE20" s="13">
        <f t="shared" si="19"/>
        <v>0.48936170212765956</v>
      </c>
      <c r="AF20" s="13">
        <f t="shared" si="20"/>
        <v>1.1481481481481481</v>
      </c>
      <c r="AG20" s="13">
        <f t="shared" si="21"/>
        <v>0.71341150049789304</v>
      </c>
      <c r="AH20" s="13">
        <f t="shared" si="13"/>
        <v>0.90109890109890112</v>
      </c>
      <c r="AI20" s="13">
        <f t="shared" si="13"/>
        <v>0.70388349514563109</v>
      </c>
      <c r="AJ20" s="13">
        <f t="shared" si="13"/>
        <v>0.58714460721759976</v>
      </c>
      <c r="AK20" s="13">
        <f t="shared" si="13"/>
        <v>1.1856060606060606</v>
      </c>
      <c r="AL20" s="13">
        <f t="shared" si="13"/>
        <v>0.62727272727272732</v>
      </c>
      <c r="AM20" s="13">
        <f t="shared" si="22"/>
        <v>0.31477985516610141</v>
      </c>
      <c r="AN20" s="13">
        <f t="shared" si="23"/>
        <v>0.86585365853658536</v>
      </c>
      <c r="AO20" s="13">
        <f t="shared" si="24"/>
        <v>0.41509433962264153</v>
      </c>
      <c r="AP20" s="13">
        <f t="shared" si="25"/>
        <v>4.981089818081938E-2</v>
      </c>
      <c r="AQ20" s="13">
        <f t="shared" si="26"/>
        <v>0.48936170212765956</v>
      </c>
      <c r="AR20" s="13">
        <f t="shared" si="27"/>
        <v>1.1481481481481481</v>
      </c>
    </row>
    <row r="21" spans="1:44" x14ac:dyDescent="0.35">
      <c r="A21" s="9" t="s">
        <v>40</v>
      </c>
      <c r="B21" s="10">
        <v>0</v>
      </c>
      <c r="C21" s="10">
        <v>204</v>
      </c>
      <c r="D21" s="10">
        <v>101</v>
      </c>
      <c r="E21" s="10">
        <v>0</v>
      </c>
      <c r="F21" s="10">
        <v>287</v>
      </c>
      <c r="G21" s="10">
        <v>76</v>
      </c>
      <c r="H21" s="10">
        <v>0</v>
      </c>
      <c r="I21" s="10">
        <v>31</v>
      </c>
      <c r="J21" s="10">
        <v>3</v>
      </c>
      <c r="K21" s="10">
        <v>0</v>
      </c>
      <c r="L21" s="10">
        <v>55</v>
      </c>
      <c r="M21" s="10">
        <v>1</v>
      </c>
      <c r="N21" s="9">
        <f t="shared" si="39"/>
        <v>24</v>
      </c>
      <c r="O21" s="20">
        <f t="shared" si="40"/>
        <v>0.4924067182942774</v>
      </c>
      <c r="P21" s="14">
        <f t="shared" si="28"/>
        <v>0.62195121951219512</v>
      </c>
      <c r="Q21" s="14">
        <f t="shared" si="29"/>
        <v>0.69655172413793098</v>
      </c>
      <c r="R21" s="20">
        <f t="shared" si="41"/>
        <v>0.45409029998941602</v>
      </c>
      <c r="S21" s="14">
        <f t="shared" si="31"/>
        <v>0.91693290734824284</v>
      </c>
      <c r="T21" s="14">
        <f t="shared" si="32"/>
        <v>0.55072463768115942</v>
      </c>
      <c r="U21" s="20">
        <f t="shared" si="42"/>
        <v>0.15873247209526478</v>
      </c>
      <c r="V21" s="14">
        <f t="shared" si="34"/>
        <v>0.43661971830985913</v>
      </c>
      <c r="W21" s="14">
        <f t="shared" si="35"/>
        <v>0.13636363636363635</v>
      </c>
      <c r="X21" s="20">
        <f t="shared" si="43"/>
        <v>8.1134953873609389E-2</v>
      </c>
      <c r="Y21" s="14">
        <f t="shared" si="37"/>
        <v>0.79710144927536231</v>
      </c>
      <c r="Z21" s="14">
        <f t="shared" si="38"/>
        <v>3.2258064516129031E-2</v>
      </c>
      <c r="AA21" s="13">
        <f t="shared" si="15"/>
        <v>0.15873247209526478</v>
      </c>
      <c r="AB21" s="13">
        <f t="shared" si="16"/>
        <v>0.43661971830985913</v>
      </c>
      <c r="AC21" s="13">
        <f t="shared" si="17"/>
        <v>0.13636363636363635</v>
      </c>
      <c r="AD21" s="13">
        <f t="shared" si="18"/>
        <v>8.1134953873609389E-2</v>
      </c>
      <c r="AE21" s="13">
        <f t="shared" si="19"/>
        <v>0.79710144927536231</v>
      </c>
      <c r="AF21" s="13">
        <f t="shared" si="20"/>
        <v>3.2258064516129031E-2</v>
      </c>
      <c r="AG21" s="13">
        <f t="shared" si="21"/>
        <v>0.4924067182942774</v>
      </c>
      <c r="AH21" s="13">
        <f t="shared" ref="AH21" si="44">P21</f>
        <v>0.62195121951219512</v>
      </c>
      <c r="AI21" s="13">
        <f t="shared" ref="AI21" si="45">Q21</f>
        <v>0.69655172413793098</v>
      </c>
      <c r="AJ21" s="13">
        <f t="shared" ref="AJ21" si="46">R21</f>
        <v>0.45409029998941602</v>
      </c>
      <c r="AK21" s="13">
        <f t="shared" ref="AK21" si="47">S21</f>
        <v>0.91693290734824284</v>
      </c>
      <c r="AL21" s="13">
        <f t="shared" ref="AL21" si="48">T21</f>
        <v>0.55072463768115942</v>
      </c>
      <c r="AM21" s="13">
        <f t="shared" si="22"/>
        <v>0.15873247209526478</v>
      </c>
      <c r="AN21" s="13">
        <f t="shared" si="23"/>
        <v>0.43661971830985913</v>
      </c>
      <c r="AO21" s="13">
        <f t="shared" si="24"/>
        <v>0.13636363636363635</v>
      </c>
      <c r="AP21" s="13">
        <f t="shared" si="25"/>
        <v>8.1134953873609389E-2</v>
      </c>
      <c r="AQ21" s="13">
        <f t="shared" si="26"/>
        <v>0.79710144927536231</v>
      </c>
      <c r="AR21" s="13">
        <f t="shared" si="27"/>
        <v>3.2258064516129031E-2</v>
      </c>
    </row>
    <row r="23" spans="1:44" x14ac:dyDescent="0.35">
      <c r="O23" s="9" t="s">
        <v>51</v>
      </c>
    </row>
  </sheetData>
  <mergeCells count="21">
    <mergeCell ref="AA2:AF2"/>
    <mergeCell ref="AG2:AL2"/>
    <mergeCell ref="AM2:AR2"/>
    <mergeCell ref="AA3:AC3"/>
    <mergeCell ref="AD3:AF3"/>
    <mergeCell ref="AG3:AI3"/>
    <mergeCell ref="AJ3:AL3"/>
    <mergeCell ref="AM3:AO3"/>
    <mergeCell ref="AP3:AR3"/>
    <mergeCell ref="U3:W3"/>
    <mergeCell ref="X3:Z3"/>
    <mergeCell ref="O2:T2"/>
    <mergeCell ref="U2:Z2"/>
    <mergeCell ref="O3:Q3"/>
    <mergeCell ref="R3:T3"/>
    <mergeCell ref="H3:J3"/>
    <mergeCell ref="K3:M3"/>
    <mergeCell ref="H2:M2"/>
    <mergeCell ref="E3:G3"/>
    <mergeCell ref="B2:G2"/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8240-84FB-4988-8932-E9F8D8C9F9DB}">
  <dimension ref="A3:O30"/>
  <sheetViews>
    <sheetView topLeftCell="A4" zoomScale="115" zoomScaleNormal="115" workbookViewId="0">
      <selection activeCell="E32" sqref="E32"/>
    </sheetView>
  </sheetViews>
  <sheetFormatPr defaultRowHeight="14.5" x14ac:dyDescent="0.35"/>
  <cols>
    <col min="1" max="1" width="12.36328125" bestFit="1" customWidth="1"/>
    <col min="2" max="2" width="16.90625" bestFit="1" customWidth="1"/>
    <col min="3" max="3" width="7" bestFit="1" customWidth="1"/>
    <col min="4" max="4" width="5.7265625" bestFit="1" customWidth="1"/>
    <col min="5" max="5" width="8.36328125" bestFit="1" customWidth="1"/>
    <col min="6" max="6" width="7" bestFit="1" customWidth="1"/>
    <col min="7" max="7" width="5.7265625" bestFit="1" customWidth="1"/>
    <col min="8" max="8" width="12.90625" bestFit="1" customWidth="1"/>
    <col min="9" max="9" width="7" bestFit="1" customWidth="1"/>
    <col min="10" max="10" width="5.7265625" bestFit="1" customWidth="1"/>
    <col min="11" max="11" width="8.36328125" bestFit="1" customWidth="1"/>
    <col min="12" max="12" width="7" bestFit="1" customWidth="1"/>
    <col min="13" max="13" width="5.7265625" bestFit="1" customWidth="1"/>
    <col min="14" max="14" width="8.7265625" bestFit="1" customWidth="1"/>
    <col min="15" max="15" width="10.7265625" bestFit="1" customWidth="1"/>
    <col min="16" max="16" width="12.36328125" bestFit="1" customWidth="1"/>
    <col min="17" max="17" width="11.54296875" bestFit="1" customWidth="1"/>
    <col min="18" max="18" width="12.36328125" bestFit="1" customWidth="1"/>
    <col min="19" max="19" width="11.54296875" bestFit="1" customWidth="1"/>
    <col min="20" max="20" width="12.36328125" bestFit="1" customWidth="1"/>
    <col min="21" max="21" width="11.54296875" bestFit="1" customWidth="1"/>
    <col min="22" max="22" width="12.36328125" bestFit="1" customWidth="1"/>
    <col min="23" max="23" width="11.54296875" bestFit="1" customWidth="1"/>
    <col min="24" max="24" width="12.36328125" bestFit="1" customWidth="1"/>
    <col min="25" max="25" width="11.54296875" bestFit="1" customWidth="1"/>
    <col min="26" max="26" width="12.36328125" bestFit="1" customWidth="1"/>
    <col min="27" max="27" width="11.54296875" bestFit="1" customWidth="1"/>
    <col min="28" max="28" width="17.26953125" bestFit="1" customWidth="1"/>
    <col min="29" max="29" width="16.36328125" bestFit="1" customWidth="1"/>
  </cols>
  <sheetData>
    <row r="3" spans="1:15" x14ac:dyDescent="0.35">
      <c r="A3" s="4" t="s">
        <v>48</v>
      </c>
      <c r="B3" s="4" t="s">
        <v>14</v>
      </c>
    </row>
    <row r="4" spans="1:15" x14ac:dyDescent="0.35">
      <c r="B4" t="s">
        <v>5</v>
      </c>
      <c r="H4" t="s">
        <v>13</v>
      </c>
      <c r="N4" t="s">
        <v>15</v>
      </c>
      <c r="O4" t="s">
        <v>16</v>
      </c>
    </row>
    <row r="5" spans="1:15" x14ac:dyDescent="0.35">
      <c r="B5" t="s">
        <v>9</v>
      </c>
      <c r="E5" t="s">
        <v>10</v>
      </c>
      <c r="H5" t="s">
        <v>9</v>
      </c>
      <c r="K5" t="s">
        <v>10</v>
      </c>
      <c r="N5" t="s">
        <v>15</v>
      </c>
    </row>
    <row r="6" spans="1:15" x14ac:dyDescent="0.35">
      <c r="A6" s="4" t="s">
        <v>17</v>
      </c>
      <c r="B6" t="s">
        <v>7</v>
      </c>
      <c r="C6" t="s">
        <v>11</v>
      </c>
      <c r="D6" t="s">
        <v>12</v>
      </c>
      <c r="E6" t="s">
        <v>7</v>
      </c>
      <c r="F6" t="s">
        <v>11</v>
      </c>
      <c r="G6" t="s">
        <v>12</v>
      </c>
      <c r="H6" t="s">
        <v>7</v>
      </c>
      <c r="I6" t="s">
        <v>11</v>
      </c>
      <c r="J6" t="s">
        <v>12</v>
      </c>
      <c r="K6" t="s">
        <v>7</v>
      </c>
      <c r="L6" t="s">
        <v>11</v>
      </c>
      <c r="M6" t="s">
        <v>12</v>
      </c>
      <c r="N6" t="s">
        <v>15</v>
      </c>
    </row>
    <row r="7" spans="1:15" x14ac:dyDescent="0.35">
      <c r="A7" s="5" t="s">
        <v>18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35">
      <c r="A8" s="5" t="s">
        <v>19</v>
      </c>
      <c r="B8" s="3">
        <v>0</v>
      </c>
      <c r="C8" s="3">
        <v>300</v>
      </c>
      <c r="D8" s="3">
        <v>290</v>
      </c>
      <c r="E8" s="3">
        <v>0</v>
      </c>
      <c r="F8" s="3">
        <v>313</v>
      </c>
      <c r="G8" s="3">
        <v>266</v>
      </c>
      <c r="H8" s="3">
        <v>0</v>
      </c>
      <c r="I8" s="3">
        <v>82</v>
      </c>
      <c r="J8" s="3">
        <v>45</v>
      </c>
      <c r="K8" s="3">
        <v>0</v>
      </c>
      <c r="L8" s="3">
        <v>97</v>
      </c>
      <c r="M8" s="3">
        <v>25</v>
      </c>
      <c r="N8" s="3"/>
      <c r="O8" s="3">
        <v>1418</v>
      </c>
    </row>
    <row r="9" spans="1:15" x14ac:dyDescent="0.35">
      <c r="A9" s="5" t="s">
        <v>20</v>
      </c>
      <c r="B9" s="3">
        <v>0</v>
      </c>
      <c r="C9" s="3">
        <v>438</v>
      </c>
      <c r="D9" s="3">
        <v>0</v>
      </c>
      <c r="E9" s="3">
        <v>0</v>
      </c>
      <c r="F9" s="3">
        <v>584</v>
      </c>
      <c r="G9" s="3">
        <v>0</v>
      </c>
      <c r="H9" s="3">
        <v>0</v>
      </c>
      <c r="I9" s="3">
        <v>76</v>
      </c>
      <c r="J9" s="3">
        <v>0</v>
      </c>
      <c r="K9" s="3">
        <v>0</v>
      </c>
      <c r="L9" s="3">
        <v>61</v>
      </c>
      <c r="M9" s="3">
        <v>0</v>
      </c>
      <c r="N9" s="3"/>
      <c r="O9" s="3">
        <v>1159</v>
      </c>
    </row>
    <row r="10" spans="1:15" x14ac:dyDescent="0.35">
      <c r="A10" s="5" t="s">
        <v>21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/>
      <c r="O10" s="3">
        <v>0</v>
      </c>
    </row>
    <row r="11" spans="1:15" x14ac:dyDescent="0.35">
      <c r="A11" s="5" t="s">
        <v>22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>
        <v>0</v>
      </c>
    </row>
    <row r="12" spans="1:15" x14ac:dyDescent="0.35">
      <c r="A12" s="5" t="s">
        <v>23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>
        <v>0</v>
      </c>
    </row>
    <row r="13" spans="1:15" x14ac:dyDescent="0.35">
      <c r="A13" s="5" t="s">
        <v>24</v>
      </c>
      <c r="B13" s="3">
        <v>0</v>
      </c>
      <c r="C13" s="3">
        <v>4</v>
      </c>
      <c r="D13" s="3">
        <v>1</v>
      </c>
      <c r="E13" s="3">
        <v>0</v>
      </c>
      <c r="F13" s="3">
        <v>6</v>
      </c>
      <c r="G13" s="3">
        <v>0</v>
      </c>
      <c r="H13" s="3">
        <v>0</v>
      </c>
      <c r="I13" s="3">
        <v>8</v>
      </c>
      <c r="J13" s="3">
        <v>9</v>
      </c>
      <c r="K13" s="3">
        <v>0</v>
      </c>
      <c r="L13" s="3">
        <v>1</v>
      </c>
      <c r="M13" s="3">
        <v>3</v>
      </c>
      <c r="N13" s="3"/>
      <c r="O13" s="3">
        <v>32</v>
      </c>
    </row>
    <row r="14" spans="1:15" x14ac:dyDescent="0.35">
      <c r="A14" s="5" t="s">
        <v>25</v>
      </c>
      <c r="B14" s="3">
        <v>0</v>
      </c>
      <c r="C14" s="3">
        <v>59</v>
      </c>
      <c r="D14" s="3">
        <v>65</v>
      </c>
      <c r="E14" s="3">
        <v>0</v>
      </c>
      <c r="F14" s="3">
        <v>12</v>
      </c>
      <c r="G14" s="3">
        <v>33</v>
      </c>
      <c r="H14" s="3">
        <v>4</v>
      </c>
      <c r="I14" s="3">
        <v>20</v>
      </c>
      <c r="J14" s="3">
        <v>25</v>
      </c>
      <c r="K14" s="3">
        <v>4</v>
      </c>
      <c r="L14" s="3">
        <v>5</v>
      </c>
      <c r="M14" s="3">
        <v>11</v>
      </c>
      <c r="N14" s="3"/>
      <c r="O14" s="3">
        <v>238</v>
      </c>
    </row>
    <row r="15" spans="1:15" x14ac:dyDescent="0.35">
      <c r="A15" s="5" t="s">
        <v>26</v>
      </c>
      <c r="B15" s="3">
        <v>17</v>
      </c>
      <c r="C15" s="3">
        <v>188</v>
      </c>
      <c r="D15" s="3">
        <v>131</v>
      </c>
      <c r="E15" s="3">
        <v>6</v>
      </c>
      <c r="F15" s="3">
        <v>9</v>
      </c>
      <c r="G15" s="3">
        <v>29</v>
      </c>
      <c r="H15" s="3">
        <v>21</v>
      </c>
      <c r="I15" s="3">
        <v>35</v>
      </c>
      <c r="J15" s="3">
        <v>45</v>
      </c>
      <c r="K15" s="3">
        <v>3</v>
      </c>
      <c r="L15" s="3">
        <v>8</v>
      </c>
      <c r="M15" s="3">
        <v>10</v>
      </c>
      <c r="N15" s="3"/>
      <c r="O15" s="3">
        <v>502</v>
      </c>
    </row>
    <row r="16" spans="1:15" x14ac:dyDescent="0.35">
      <c r="A16" s="5" t="s">
        <v>27</v>
      </c>
      <c r="B16" s="3">
        <v>46</v>
      </c>
      <c r="C16" s="3">
        <v>191</v>
      </c>
      <c r="D16" s="3">
        <v>168</v>
      </c>
      <c r="E16" s="3">
        <v>14</v>
      </c>
      <c r="F16" s="3">
        <v>19</v>
      </c>
      <c r="G16" s="3">
        <v>24</v>
      </c>
      <c r="H16" s="3">
        <v>24</v>
      </c>
      <c r="I16" s="3">
        <v>54</v>
      </c>
      <c r="J16" s="3">
        <v>46</v>
      </c>
      <c r="K16" s="3">
        <v>5</v>
      </c>
      <c r="L16" s="3">
        <v>9</v>
      </c>
      <c r="M16" s="3">
        <v>17</v>
      </c>
      <c r="N16" s="3"/>
      <c r="O16" s="3">
        <v>617</v>
      </c>
    </row>
    <row r="17" spans="1:15" x14ac:dyDescent="0.35">
      <c r="A17" s="5" t="s">
        <v>28</v>
      </c>
      <c r="B17" s="3">
        <v>53</v>
      </c>
      <c r="C17" s="3">
        <v>206</v>
      </c>
      <c r="D17" s="3">
        <v>259</v>
      </c>
      <c r="E17" s="3">
        <v>21</v>
      </c>
      <c r="F17" s="3">
        <v>22</v>
      </c>
      <c r="G17" s="3">
        <v>23</v>
      </c>
      <c r="H17" s="3">
        <v>40</v>
      </c>
      <c r="I17" s="3">
        <v>44</v>
      </c>
      <c r="J17" s="3">
        <v>56</v>
      </c>
      <c r="K17" s="3">
        <v>9</v>
      </c>
      <c r="L17" s="3">
        <v>23</v>
      </c>
      <c r="M17" s="3">
        <v>10</v>
      </c>
      <c r="N17" s="3"/>
      <c r="O17" s="3">
        <v>766</v>
      </c>
    </row>
    <row r="18" spans="1:15" x14ac:dyDescent="0.35">
      <c r="A18" s="5" t="s">
        <v>29</v>
      </c>
      <c r="B18" s="3">
        <v>85</v>
      </c>
      <c r="C18" s="3">
        <v>270</v>
      </c>
      <c r="D18" s="3">
        <v>231</v>
      </c>
      <c r="E18" s="3">
        <v>18</v>
      </c>
      <c r="F18" s="3">
        <v>59</v>
      </c>
      <c r="G18" s="3">
        <v>26</v>
      </c>
      <c r="H18" s="3">
        <v>38</v>
      </c>
      <c r="I18" s="3">
        <v>86</v>
      </c>
      <c r="J18" s="3">
        <v>52</v>
      </c>
      <c r="K18" s="3">
        <v>7</v>
      </c>
      <c r="L18" s="3">
        <v>21</v>
      </c>
      <c r="M18" s="3">
        <v>16</v>
      </c>
      <c r="N18" s="3"/>
      <c r="O18" s="3">
        <v>909</v>
      </c>
    </row>
    <row r="19" spans="1:15" x14ac:dyDescent="0.35">
      <c r="A19" s="5" t="s">
        <v>30</v>
      </c>
      <c r="B19" s="3">
        <v>88</v>
      </c>
      <c r="C19" s="3">
        <v>277</v>
      </c>
      <c r="D19" s="3">
        <v>204</v>
      </c>
      <c r="E19" s="3">
        <v>16</v>
      </c>
      <c r="F19" s="3">
        <v>39</v>
      </c>
      <c r="G19" s="3">
        <v>24</v>
      </c>
      <c r="H19" s="3">
        <v>60</v>
      </c>
      <c r="I19" s="3">
        <v>98</v>
      </c>
      <c r="J19" s="3">
        <v>100</v>
      </c>
      <c r="K19" s="3">
        <v>17</v>
      </c>
      <c r="L19" s="3">
        <v>58</v>
      </c>
      <c r="M19" s="3">
        <v>52</v>
      </c>
      <c r="N19" s="3"/>
      <c r="O19" s="3">
        <v>1033</v>
      </c>
    </row>
    <row r="20" spans="1:15" x14ac:dyDescent="0.35">
      <c r="A20" s="5" t="s">
        <v>31</v>
      </c>
      <c r="B20" s="3">
        <v>90</v>
      </c>
      <c r="C20" s="3">
        <v>249</v>
      </c>
      <c r="D20" s="3">
        <v>369</v>
      </c>
      <c r="E20" s="3">
        <v>29</v>
      </c>
      <c r="F20" s="3">
        <v>14</v>
      </c>
      <c r="G20" s="3">
        <v>32</v>
      </c>
      <c r="H20" s="3">
        <v>84</v>
      </c>
      <c r="I20" s="3">
        <v>79</v>
      </c>
      <c r="J20" s="3">
        <v>65</v>
      </c>
      <c r="K20" s="3">
        <v>9</v>
      </c>
      <c r="L20" s="3">
        <v>13</v>
      </c>
      <c r="M20" s="3">
        <v>16</v>
      </c>
      <c r="N20" s="3"/>
      <c r="O20" s="3">
        <v>1049</v>
      </c>
    </row>
    <row r="21" spans="1:15" x14ac:dyDescent="0.35">
      <c r="A21" s="5" t="s">
        <v>32</v>
      </c>
      <c r="B21" s="3">
        <v>102</v>
      </c>
      <c r="C21" s="3">
        <v>235</v>
      </c>
      <c r="D21" s="3">
        <v>297</v>
      </c>
      <c r="E21" s="3">
        <v>24</v>
      </c>
      <c r="F21" s="3">
        <v>30</v>
      </c>
      <c r="G21" s="3">
        <v>41</v>
      </c>
      <c r="H21" s="3">
        <v>64</v>
      </c>
      <c r="I21" s="3">
        <v>106</v>
      </c>
      <c r="J21" s="3">
        <v>71</v>
      </c>
      <c r="K21" s="3">
        <v>18</v>
      </c>
      <c r="L21" s="3">
        <v>29</v>
      </c>
      <c r="M21" s="3">
        <v>32</v>
      </c>
      <c r="N21" s="3"/>
      <c r="O21" s="3">
        <v>1049</v>
      </c>
    </row>
    <row r="22" spans="1:15" x14ac:dyDescent="0.35">
      <c r="A22" s="5" t="s">
        <v>33</v>
      </c>
      <c r="B22" s="3">
        <v>106</v>
      </c>
      <c r="C22" s="3">
        <v>285</v>
      </c>
      <c r="D22" s="3">
        <v>313</v>
      </c>
      <c r="E22" s="3">
        <v>33</v>
      </c>
      <c r="F22" s="3">
        <v>58</v>
      </c>
      <c r="G22" s="3">
        <v>65</v>
      </c>
      <c r="H22" s="3">
        <v>81</v>
      </c>
      <c r="I22" s="3">
        <v>113</v>
      </c>
      <c r="J22" s="3">
        <v>77</v>
      </c>
      <c r="K22" s="3">
        <v>32</v>
      </c>
      <c r="L22" s="3">
        <v>44</v>
      </c>
      <c r="M22" s="3">
        <v>23</v>
      </c>
      <c r="N22" s="3"/>
      <c r="O22" s="3">
        <v>1230</v>
      </c>
    </row>
    <row r="23" spans="1:15" x14ac:dyDescent="0.35">
      <c r="A23" s="5" t="s">
        <v>34</v>
      </c>
      <c r="B23" s="3">
        <v>85</v>
      </c>
      <c r="C23" s="3">
        <v>164</v>
      </c>
      <c r="D23" s="3">
        <v>351</v>
      </c>
      <c r="E23" s="3">
        <v>48</v>
      </c>
      <c r="F23" s="3">
        <v>105</v>
      </c>
      <c r="G23" s="3">
        <v>53</v>
      </c>
      <c r="H23" s="3">
        <v>90</v>
      </c>
      <c r="I23" s="3">
        <v>99</v>
      </c>
      <c r="J23" s="3">
        <v>67</v>
      </c>
      <c r="K23" s="3">
        <v>43</v>
      </c>
      <c r="L23" s="3">
        <v>48</v>
      </c>
      <c r="M23" s="3">
        <v>32</v>
      </c>
      <c r="N23" s="3"/>
      <c r="O23" s="3">
        <v>1185</v>
      </c>
    </row>
    <row r="24" spans="1:15" x14ac:dyDescent="0.35">
      <c r="A24" s="5" t="s">
        <v>35</v>
      </c>
      <c r="B24" s="3">
        <v>146</v>
      </c>
      <c r="C24" s="3">
        <v>180</v>
      </c>
      <c r="D24" s="3">
        <v>330</v>
      </c>
      <c r="E24" s="3">
        <v>55</v>
      </c>
      <c r="F24" s="3">
        <v>74</v>
      </c>
      <c r="G24" s="3">
        <v>80</v>
      </c>
      <c r="H24" s="3">
        <v>89</v>
      </c>
      <c r="I24" s="3">
        <v>101</v>
      </c>
      <c r="J24" s="3">
        <v>76</v>
      </c>
      <c r="K24" s="3">
        <v>73</v>
      </c>
      <c r="L24" s="3">
        <v>62</v>
      </c>
      <c r="M24" s="3">
        <v>63</v>
      </c>
      <c r="N24" s="3"/>
      <c r="O24" s="3">
        <v>1329</v>
      </c>
    </row>
    <row r="25" spans="1:15" x14ac:dyDescent="0.35">
      <c r="A25" s="5" t="s">
        <v>36</v>
      </c>
      <c r="B25" s="3">
        <v>184</v>
      </c>
      <c r="C25" s="3">
        <v>336</v>
      </c>
      <c r="D25" s="3">
        <v>316</v>
      </c>
      <c r="E25" s="3">
        <v>122</v>
      </c>
      <c r="F25" s="3">
        <v>143</v>
      </c>
      <c r="G25" s="3">
        <v>133</v>
      </c>
      <c r="H25" s="3">
        <v>125</v>
      </c>
      <c r="I25" s="3">
        <v>122</v>
      </c>
      <c r="J25" s="3">
        <v>85</v>
      </c>
      <c r="K25" s="3">
        <v>81</v>
      </c>
      <c r="L25" s="3">
        <v>66</v>
      </c>
      <c r="M25" s="3">
        <v>72</v>
      </c>
      <c r="N25" s="3"/>
      <c r="O25" s="3">
        <v>1785</v>
      </c>
    </row>
    <row r="26" spans="1:15" x14ac:dyDescent="0.35">
      <c r="A26" s="5" t="s">
        <v>37</v>
      </c>
      <c r="B26" s="3">
        <v>346</v>
      </c>
      <c r="C26" s="3">
        <v>293</v>
      </c>
      <c r="D26" s="3">
        <v>283</v>
      </c>
      <c r="E26" s="3">
        <v>230</v>
      </c>
      <c r="F26" s="3">
        <v>118</v>
      </c>
      <c r="G26" s="3">
        <v>143</v>
      </c>
      <c r="H26" s="3">
        <v>219</v>
      </c>
      <c r="I26" s="3">
        <v>168</v>
      </c>
      <c r="J26" s="3">
        <v>93</v>
      </c>
      <c r="K26" s="3">
        <v>240</v>
      </c>
      <c r="L26" s="3">
        <v>143</v>
      </c>
      <c r="M26" s="3">
        <v>99</v>
      </c>
      <c r="N26" s="3"/>
      <c r="O26" s="3">
        <v>2375</v>
      </c>
    </row>
    <row r="27" spans="1:15" x14ac:dyDescent="0.35">
      <c r="A27" s="5" t="s">
        <v>38</v>
      </c>
      <c r="B27" s="3">
        <v>139</v>
      </c>
      <c r="C27" s="3">
        <v>277</v>
      </c>
      <c r="D27" s="3">
        <v>236</v>
      </c>
      <c r="E27" s="3">
        <v>292</v>
      </c>
      <c r="F27" s="3">
        <v>144</v>
      </c>
      <c r="G27" s="3">
        <v>112</v>
      </c>
      <c r="H27" s="3">
        <v>37</v>
      </c>
      <c r="I27" s="3">
        <v>118</v>
      </c>
      <c r="J27" s="3">
        <v>100</v>
      </c>
      <c r="K27" s="3">
        <v>22</v>
      </c>
      <c r="L27" s="3">
        <v>117</v>
      </c>
      <c r="M27" s="3">
        <v>122</v>
      </c>
      <c r="N27" s="3"/>
      <c r="O27" s="3">
        <v>1716</v>
      </c>
    </row>
    <row r="28" spans="1:15" x14ac:dyDescent="0.35">
      <c r="A28" s="5" t="s">
        <v>39</v>
      </c>
      <c r="B28" s="3">
        <v>0</v>
      </c>
      <c r="C28" s="3">
        <v>309</v>
      </c>
      <c r="D28" s="3">
        <v>259</v>
      </c>
      <c r="E28" s="3">
        <v>0</v>
      </c>
      <c r="F28" s="3">
        <v>146</v>
      </c>
      <c r="G28" s="3">
        <v>187</v>
      </c>
      <c r="H28" s="3">
        <v>0</v>
      </c>
      <c r="I28" s="3">
        <v>106</v>
      </c>
      <c r="J28" s="3">
        <v>106</v>
      </c>
      <c r="K28" s="3">
        <v>0</v>
      </c>
      <c r="L28" s="3">
        <v>130</v>
      </c>
      <c r="M28" s="3">
        <v>77</v>
      </c>
      <c r="N28" s="3"/>
      <c r="O28" s="3">
        <v>1320</v>
      </c>
    </row>
    <row r="29" spans="1:15" x14ac:dyDescent="0.35">
      <c r="A29" s="5" t="s">
        <v>40</v>
      </c>
      <c r="B29" s="3">
        <v>0</v>
      </c>
      <c r="C29" s="3">
        <v>390</v>
      </c>
      <c r="D29" s="3">
        <v>202</v>
      </c>
      <c r="E29" s="3">
        <v>0</v>
      </c>
      <c r="F29" s="3">
        <v>342</v>
      </c>
      <c r="G29" s="3">
        <v>184</v>
      </c>
      <c r="H29" s="3">
        <v>0</v>
      </c>
      <c r="I29" s="3">
        <v>98</v>
      </c>
      <c r="J29" s="3">
        <v>60</v>
      </c>
      <c r="K29" s="3">
        <v>0</v>
      </c>
      <c r="L29" s="3">
        <v>107</v>
      </c>
      <c r="M29" s="3">
        <v>57</v>
      </c>
      <c r="N29" s="3"/>
      <c r="O29" s="3">
        <v>1440</v>
      </c>
    </row>
    <row r="30" spans="1:15" x14ac:dyDescent="0.35">
      <c r="A30" s="5" t="s">
        <v>16</v>
      </c>
      <c r="B30" s="3">
        <v>1487</v>
      </c>
      <c r="C30" s="3">
        <v>4651</v>
      </c>
      <c r="D30" s="3">
        <v>4305</v>
      </c>
      <c r="E30" s="3">
        <v>908</v>
      </c>
      <c r="F30" s="3">
        <v>2237</v>
      </c>
      <c r="G30" s="3">
        <v>1455</v>
      </c>
      <c r="H30" s="3">
        <v>976</v>
      </c>
      <c r="I30" s="3">
        <v>1613</v>
      </c>
      <c r="J30" s="3">
        <v>1178</v>
      </c>
      <c r="K30" s="3">
        <v>563</v>
      </c>
      <c r="L30" s="3">
        <v>1042</v>
      </c>
      <c r="M30" s="3">
        <v>737</v>
      </c>
      <c r="N30" s="3"/>
      <c r="O30" s="3">
        <v>21152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7"/>
  <sheetViews>
    <sheetView workbookViewId="0">
      <pane ySplit="1" topLeftCell="A147" activePane="bottomLeft" state="frozen"/>
      <selection pane="bottomLeft" activeCell="G113" sqref="G113"/>
    </sheetView>
  </sheetViews>
  <sheetFormatPr defaultRowHeight="14.5" x14ac:dyDescent="0.35"/>
  <cols>
    <col min="5" max="5" width="16.7265625" customWidth="1"/>
  </cols>
  <sheetData>
    <row r="1" spans="1:7" x14ac:dyDescent="0.3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6</v>
      </c>
      <c r="G1" t="s">
        <v>8</v>
      </c>
    </row>
    <row r="2" spans="1:7" x14ac:dyDescent="0.35">
      <c r="A2" s="2">
        <v>0.29166666666666669</v>
      </c>
      <c r="B2">
        <v>0</v>
      </c>
      <c r="C2">
        <v>0</v>
      </c>
      <c r="D2">
        <v>0</v>
      </c>
      <c r="E2" t="s">
        <v>5</v>
      </c>
      <c r="F2" t="s">
        <v>7</v>
      </c>
      <c r="G2" t="s">
        <v>9</v>
      </c>
    </row>
    <row r="3" spans="1:7" x14ac:dyDescent="0.35">
      <c r="A3" s="1">
        <v>0.3125</v>
      </c>
      <c r="B3">
        <v>0</v>
      </c>
      <c r="C3">
        <v>0</v>
      </c>
      <c r="D3">
        <v>0</v>
      </c>
      <c r="E3" t="s">
        <v>5</v>
      </c>
      <c r="F3" t="s">
        <v>7</v>
      </c>
      <c r="G3" t="s">
        <v>9</v>
      </c>
    </row>
    <row r="4" spans="1:7" x14ac:dyDescent="0.35">
      <c r="A4" s="1">
        <v>0.33333333333333331</v>
      </c>
      <c r="B4">
        <v>27</v>
      </c>
      <c r="C4">
        <v>0</v>
      </c>
      <c r="D4">
        <v>27</v>
      </c>
      <c r="E4" t="s">
        <v>5</v>
      </c>
      <c r="F4" t="s">
        <v>7</v>
      </c>
      <c r="G4" t="s">
        <v>9</v>
      </c>
    </row>
    <row r="5" spans="1:7" x14ac:dyDescent="0.35">
      <c r="A5" s="1">
        <v>0.35416666666666669</v>
      </c>
      <c r="B5">
        <v>13</v>
      </c>
      <c r="C5">
        <v>0</v>
      </c>
      <c r="D5">
        <v>40</v>
      </c>
      <c r="E5" t="s">
        <v>5</v>
      </c>
      <c r="F5" t="s">
        <v>7</v>
      </c>
      <c r="G5" t="s">
        <v>9</v>
      </c>
    </row>
    <row r="6" spans="1:7" x14ac:dyDescent="0.35">
      <c r="A6" s="1">
        <v>0.375</v>
      </c>
      <c r="B6">
        <v>24</v>
      </c>
      <c r="C6">
        <v>7</v>
      </c>
      <c r="D6">
        <v>57</v>
      </c>
      <c r="E6" t="s">
        <v>5</v>
      </c>
      <c r="F6" t="s">
        <v>7</v>
      </c>
      <c r="G6" t="s">
        <v>9</v>
      </c>
    </row>
    <row r="7" spans="1:7" x14ac:dyDescent="0.35">
      <c r="A7" s="1">
        <v>0.39583333333333331</v>
      </c>
      <c r="B7">
        <v>39</v>
      </c>
      <c r="C7">
        <v>10</v>
      </c>
      <c r="D7">
        <v>86</v>
      </c>
      <c r="E7" t="s">
        <v>5</v>
      </c>
      <c r="F7" t="s">
        <v>7</v>
      </c>
      <c r="G7" t="s">
        <v>9</v>
      </c>
    </row>
    <row r="8" spans="1:7" x14ac:dyDescent="0.35">
      <c r="A8" s="1">
        <v>0.41666666666666669</v>
      </c>
      <c r="B8">
        <v>38</v>
      </c>
      <c r="C8">
        <v>24</v>
      </c>
      <c r="D8">
        <v>100</v>
      </c>
      <c r="E8" t="s">
        <v>5</v>
      </c>
      <c r="F8" t="s">
        <v>7</v>
      </c>
      <c r="G8" t="s">
        <v>9</v>
      </c>
    </row>
    <row r="9" spans="1:7" x14ac:dyDescent="0.35">
      <c r="A9" s="1">
        <v>0.4375</v>
      </c>
      <c r="B9">
        <v>42</v>
      </c>
      <c r="C9">
        <v>22</v>
      </c>
      <c r="D9">
        <v>120</v>
      </c>
      <c r="E9" t="s">
        <v>5</v>
      </c>
      <c r="F9" t="s">
        <v>7</v>
      </c>
      <c r="G9" t="s">
        <v>9</v>
      </c>
    </row>
    <row r="10" spans="1:7" x14ac:dyDescent="0.35">
      <c r="A10" s="1">
        <v>0.45833333333333331</v>
      </c>
      <c r="B10">
        <v>34</v>
      </c>
      <c r="C10">
        <v>28</v>
      </c>
      <c r="D10">
        <v>126</v>
      </c>
      <c r="E10" t="s">
        <v>5</v>
      </c>
      <c r="F10" t="s">
        <v>7</v>
      </c>
      <c r="G10" t="s">
        <v>9</v>
      </c>
    </row>
    <row r="11" spans="1:7" x14ac:dyDescent="0.35">
      <c r="A11" s="1">
        <v>0.47916666666666669</v>
      </c>
      <c r="B11">
        <v>35</v>
      </c>
      <c r="C11">
        <v>25</v>
      </c>
      <c r="D11">
        <v>136</v>
      </c>
      <c r="E11" t="s">
        <v>5</v>
      </c>
      <c r="F11" t="s">
        <v>7</v>
      </c>
      <c r="G11" t="s">
        <v>9</v>
      </c>
    </row>
    <row r="12" spans="1:7" x14ac:dyDescent="0.35">
      <c r="A12" s="1">
        <v>0.5</v>
      </c>
      <c r="B12">
        <v>28</v>
      </c>
      <c r="C12">
        <v>27</v>
      </c>
      <c r="D12">
        <v>137</v>
      </c>
      <c r="E12" t="s">
        <v>5</v>
      </c>
      <c r="F12" t="s">
        <v>7</v>
      </c>
      <c r="G12" t="s">
        <v>9</v>
      </c>
    </row>
    <row r="13" spans="1:7" x14ac:dyDescent="0.35">
      <c r="A13" s="1">
        <v>0.52083333333333337</v>
      </c>
      <c r="B13">
        <v>40</v>
      </c>
      <c r="C13">
        <v>58</v>
      </c>
      <c r="D13">
        <v>119</v>
      </c>
      <c r="E13" t="s">
        <v>5</v>
      </c>
      <c r="F13" t="s">
        <v>7</v>
      </c>
      <c r="G13" t="s">
        <v>9</v>
      </c>
    </row>
    <row r="14" spans="1:7" x14ac:dyDescent="0.35">
      <c r="A14" s="1">
        <v>0.54166666666666663</v>
      </c>
      <c r="B14">
        <v>53</v>
      </c>
      <c r="C14">
        <v>50</v>
      </c>
      <c r="D14">
        <v>122</v>
      </c>
      <c r="E14" t="s">
        <v>5</v>
      </c>
      <c r="F14" t="s">
        <v>7</v>
      </c>
      <c r="G14" t="s">
        <v>9</v>
      </c>
    </row>
    <row r="15" spans="1:7" x14ac:dyDescent="0.35">
      <c r="A15" s="1">
        <v>0.5625</v>
      </c>
      <c r="B15">
        <v>56</v>
      </c>
      <c r="C15">
        <v>38</v>
      </c>
      <c r="D15">
        <v>140</v>
      </c>
      <c r="E15" t="s">
        <v>5</v>
      </c>
      <c r="F15" t="s">
        <v>7</v>
      </c>
      <c r="G15" t="s">
        <v>9</v>
      </c>
    </row>
    <row r="16" spans="1:7" x14ac:dyDescent="0.35">
      <c r="A16" s="1">
        <v>0.58333333333333337</v>
      </c>
      <c r="B16">
        <v>92</v>
      </c>
      <c r="C16">
        <v>28</v>
      </c>
      <c r="D16">
        <v>204</v>
      </c>
      <c r="E16" t="s">
        <v>5</v>
      </c>
      <c r="F16" t="s">
        <v>7</v>
      </c>
      <c r="G16" t="s">
        <v>9</v>
      </c>
    </row>
    <row r="17" spans="1:7" x14ac:dyDescent="0.35">
      <c r="A17" s="1">
        <v>0.60416666666666663</v>
      </c>
      <c r="B17">
        <v>48</v>
      </c>
      <c r="C17">
        <v>62</v>
      </c>
      <c r="D17">
        <v>190</v>
      </c>
      <c r="E17" t="s">
        <v>5</v>
      </c>
      <c r="F17" t="s">
        <v>7</v>
      </c>
      <c r="G17" t="s">
        <v>9</v>
      </c>
    </row>
    <row r="18" spans="1:7" x14ac:dyDescent="0.35">
      <c r="A18" s="1">
        <v>0.625</v>
      </c>
      <c r="B18">
        <v>52</v>
      </c>
      <c r="C18">
        <v>64</v>
      </c>
      <c r="D18">
        <v>178</v>
      </c>
      <c r="E18" t="s">
        <v>5</v>
      </c>
      <c r="F18" t="s">
        <v>7</v>
      </c>
      <c r="G18" t="s">
        <v>9</v>
      </c>
    </row>
    <row r="19" spans="1:7" x14ac:dyDescent="0.35">
      <c r="A19" s="1">
        <v>0.64583333333333337</v>
      </c>
      <c r="B19">
        <v>72</v>
      </c>
      <c r="C19">
        <v>38</v>
      </c>
      <c r="D19">
        <v>212</v>
      </c>
      <c r="E19" t="s">
        <v>5</v>
      </c>
      <c r="F19" t="s">
        <v>7</v>
      </c>
      <c r="G19" t="s">
        <v>9</v>
      </c>
    </row>
    <row r="20" spans="1:7" x14ac:dyDescent="0.35">
      <c r="A20" s="1">
        <v>0.66666666666666663</v>
      </c>
      <c r="B20">
        <v>52</v>
      </c>
      <c r="C20">
        <v>70</v>
      </c>
      <c r="D20">
        <v>194</v>
      </c>
      <c r="E20" t="s">
        <v>5</v>
      </c>
      <c r="F20" t="s">
        <v>7</v>
      </c>
      <c r="G20" t="s">
        <v>9</v>
      </c>
    </row>
    <row r="21" spans="1:7" x14ac:dyDescent="0.35">
      <c r="A21" s="1">
        <v>0.6875</v>
      </c>
      <c r="B21">
        <v>66</v>
      </c>
      <c r="C21">
        <v>36</v>
      </c>
      <c r="D21">
        <v>224</v>
      </c>
      <c r="E21" t="s">
        <v>5</v>
      </c>
      <c r="F21" t="s">
        <v>7</v>
      </c>
      <c r="G21" t="s">
        <v>9</v>
      </c>
    </row>
    <row r="22" spans="1:7" x14ac:dyDescent="0.35">
      <c r="A22" s="1">
        <v>0.70833333333333337</v>
      </c>
      <c r="B22">
        <v>69</v>
      </c>
      <c r="C22">
        <v>43</v>
      </c>
      <c r="D22">
        <v>250</v>
      </c>
      <c r="E22" t="s">
        <v>5</v>
      </c>
      <c r="F22" t="s">
        <v>7</v>
      </c>
      <c r="G22" t="s">
        <v>9</v>
      </c>
    </row>
    <row r="23" spans="1:7" x14ac:dyDescent="0.35">
      <c r="A23" s="1">
        <v>0.72916666666666663</v>
      </c>
      <c r="B23">
        <v>76</v>
      </c>
      <c r="C23">
        <v>42</v>
      </c>
      <c r="D23">
        <v>284</v>
      </c>
      <c r="E23" t="s">
        <v>5</v>
      </c>
      <c r="F23" t="s">
        <v>7</v>
      </c>
      <c r="G23" t="s">
        <v>9</v>
      </c>
    </row>
    <row r="24" spans="1:7" x14ac:dyDescent="0.35">
      <c r="A24" s="1">
        <v>0.75</v>
      </c>
      <c r="B24">
        <v>140</v>
      </c>
      <c r="C24">
        <v>74</v>
      </c>
      <c r="D24">
        <v>350</v>
      </c>
      <c r="E24" t="s">
        <v>5</v>
      </c>
      <c r="F24" t="s">
        <v>7</v>
      </c>
      <c r="G24" t="s">
        <v>9</v>
      </c>
    </row>
    <row r="25" spans="1:7" x14ac:dyDescent="0.35">
      <c r="A25" s="1">
        <v>0.77083333333333337</v>
      </c>
      <c r="B25">
        <v>102</v>
      </c>
      <c r="C25">
        <v>72</v>
      </c>
      <c r="D25">
        <v>380</v>
      </c>
      <c r="E25" t="s">
        <v>5</v>
      </c>
      <c r="F25" t="s">
        <v>7</v>
      </c>
      <c r="G25" t="s">
        <v>9</v>
      </c>
    </row>
    <row r="26" spans="1:7" x14ac:dyDescent="0.35">
      <c r="A26" s="1">
        <v>0.79166666666666663</v>
      </c>
      <c r="B26">
        <v>85</v>
      </c>
      <c r="C26">
        <v>90</v>
      </c>
      <c r="D26">
        <v>375</v>
      </c>
      <c r="E26" t="s">
        <v>5</v>
      </c>
      <c r="F26" t="s">
        <v>7</v>
      </c>
      <c r="G26" t="s">
        <v>9</v>
      </c>
    </row>
    <row r="27" spans="1:7" x14ac:dyDescent="0.35">
      <c r="A27" s="1">
        <v>0.8125</v>
      </c>
      <c r="B27">
        <v>78</v>
      </c>
      <c r="C27">
        <v>94</v>
      </c>
      <c r="D27">
        <v>359</v>
      </c>
      <c r="E27" t="s">
        <v>5</v>
      </c>
      <c r="F27" t="s">
        <v>7</v>
      </c>
      <c r="G27" t="s">
        <v>9</v>
      </c>
    </row>
    <row r="28" spans="1:7" x14ac:dyDescent="0.35">
      <c r="A28" s="1">
        <v>0.83333333333333337</v>
      </c>
      <c r="B28">
        <v>92</v>
      </c>
      <c r="C28">
        <v>98</v>
      </c>
      <c r="D28">
        <v>353</v>
      </c>
      <c r="E28" t="s">
        <v>5</v>
      </c>
      <c r="F28" t="s">
        <v>7</v>
      </c>
      <c r="G28" t="s">
        <v>9</v>
      </c>
    </row>
    <row r="29" spans="1:7" x14ac:dyDescent="0.35">
      <c r="A29" s="1">
        <v>0.85416666666666696</v>
      </c>
      <c r="B29">
        <v>36</v>
      </c>
      <c r="C29">
        <v>248</v>
      </c>
      <c r="D29">
        <v>141</v>
      </c>
      <c r="E29" t="s">
        <v>5</v>
      </c>
      <c r="F29" t="s">
        <v>7</v>
      </c>
      <c r="G29" t="s">
        <v>9</v>
      </c>
    </row>
    <row r="30" spans="1:7" x14ac:dyDescent="0.35">
      <c r="A30" s="1">
        <v>0.875</v>
      </c>
      <c r="B30">
        <v>0</v>
      </c>
      <c r="C30">
        <v>137</v>
      </c>
      <c r="D30">
        <v>4</v>
      </c>
      <c r="E30" t="s">
        <v>5</v>
      </c>
      <c r="F30" t="s">
        <v>7</v>
      </c>
      <c r="G30" t="s">
        <v>9</v>
      </c>
    </row>
    <row r="31" spans="1:7" x14ac:dyDescent="0.35">
      <c r="A31" s="1">
        <v>0.89583333333333304</v>
      </c>
      <c r="B31">
        <v>0</v>
      </c>
      <c r="C31">
        <v>2</v>
      </c>
      <c r="D31">
        <v>2</v>
      </c>
      <c r="E31" t="s">
        <v>5</v>
      </c>
      <c r="F31" t="s">
        <v>7</v>
      </c>
      <c r="G31" t="s">
        <v>9</v>
      </c>
    </row>
    <row r="32" spans="1:7" x14ac:dyDescent="0.35">
      <c r="A32" s="1">
        <v>0.91666666666666696</v>
      </c>
      <c r="B32">
        <v>0</v>
      </c>
      <c r="C32">
        <v>0</v>
      </c>
      <c r="D32">
        <v>2</v>
      </c>
      <c r="E32" t="s">
        <v>5</v>
      </c>
      <c r="F32" t="s">
        <v>7</v>
      </c>
      <c r="G32" t="s">
        <v>9</v>
      </c>
    </row>
    <row r="33" spans="1:7" x14ac:dyDescent="0.35">
      <c r="A33" s="1">
        <v>0.9375</v>
      </c>
      <c r="B33">
        <v>0</v>
      </c>
      <c r="C33">
        <v>0</v>
      </c>
      <c r="D33">
        <v>2</v>
      </c>
      <c r="E33" t="s">
        <v>5</v>
      </c>
      <c r="F33" t="s">
        <v>7</v>
      </c>
      <c r="G33" t="s">
        <v>9</v>
      </c>
    </row>
    <row r="34" spans="1:7" x14ac:dyDescent="0.35">
      <c r="A34" s="1">
        <v>0.95833333333333404</v>
      </c>
      <c r="B34">
        <v>0</v>
      </c>
      <c r="C34">
        <v>0</v>
      </c>
      <c r="D34">
        <v>2</v>
      </c>
      <c r="E34" t="s">
        <v>5</v>
      </c>
      <c r="F34" t="s">
        <v>7</v>
      </c>
      <c r="G34" t="s">
        <v>9</v>
      </c>
    </row>
    <row r="35" spans="1:7" x14ac:dyDescent="0.35">
      <c r="A35" s="1">
        <v>0.97916666666666696</v>
      </c>
      <c r="B35">
        <v>0</v>
      </c>
      <c r="C35">
        <v>0</v>
      </c>
      <c r="D35">
        <v>2</v>
      </c>
      <c r="E35" t="s">
        <v>5</v>
      </c>
      <c r="F35" t="s">
        <v>7</v>
      </c>
      <c r="G35" t="s">
        <v>9</v>
      </c>
    </row>
    <row r="36" spans="1:7" x14ac:dyDescent="0.35">
      <c r="A36" s="1">
        <v>1</v>
      </c>
      <c r="B36">
        <v>0</v>
      </c>
      <c r="C36">
        <v>0</v>
      </c>
      <c r="D36">
        <v>2</v>
      </c>
      <c r="E36" t="s">
        <v>5</v>
      </c>
      <c r="F36" t="s">
        <v>7</v>
      </c>
      <c r="G36" t="s">
        <v>9</v>
      </c>
    </row>
    <row r="37" spans="1:7" x14ac:dyDescent="0.35">
      <c r="A37" s="1">
        <v>1.0208333333333399</v>
      </c>
      <c r="B37">
        <v>0</v>
      </c>
      <c r="C37">
        <v>0</v>
      </c>
      <c r="D37">
        <v>2</v>
      </c>
      <c r="E37" t="s">
        <v>5</v>
      </c>
      <c r="F37" t="s">
        <v>7</v>
      </c>
      <c r="G37" t="s">
        <v>9</v>
      </c>
    </row>
    <row r="38" spans="1:7" x14ac:dyDescent="0.35">
      <c r="A38" s="1">
        <v>1.0416666666666701</v>
      </c>
      <c r="B38">
        <v>0</v>
      </c>
      <c r="C38">
        <v>0</v>
      </c>
      <c r="D38">
        <v>2</v>
      </c>
      <c r="E38" t="s">
        <v>5</v>
      </c>
      <c r="F38" t="s">
        <v>7</v>
      </c>
      <c r="G38" t="s">
        <v>9</v>
      </c>
    </row>
    <row r="39" spans="1:7" x14ac:dyDescent="0.35">
      <c r="A39" s="1">
        <v>1.0625</v>
      </c>
      <c r="B39">
        <v>0</v>
      </c>
      <c r="C39">
        <v>0</v>
      </c>
      <c r="D39">
        <v>2</v>
      </c>
      <c r="E39" t="s">
        <v>5</v>
      </c>
      <c r="F39" t="s">
        <v>7</v>
      </c>
      <c r="G39" t="s">
        <v>9</v>
      </c>
    </row>
    <row r="40" spans="1:7" x14ac:dyDescent="0.35">
      <c r="A40" s="1">
        <v>1.0833333333333399</v>
      </c>
      <c r="B40">
        <v>0</v>
      </c>
      <c r="C40">
        <v>0</v>
      </c>
      <c r="D40">
        <v>2</v>
      </c>
      <c r="E40" t="s">
        <v>5</v>
      </c>
      <c r="F40" t="s">
        <v>7</v>
      </c>
      <c r="G40" t="s">
        <v>9</v>
      </c>
    </row>
    <row r="41" spans="1:7" x14ac:dyDescent="0.35">
      <c r="A41" s="1">
        <v>1.1041666666666701</v>
      </c>
      <c r="B41">
        <v>0</v>
      </c>
      <c r="C41">
        <v>0</v>
      </c>
      <c r="D41">
        <v>2</v>
      </c>
      <c r="E41" t="s">
        <v>5</v>
      </c>
      <c r="F41" t="s">
        <v>7</v>
      </c>
      <c r="G41" t="s">
        <v>9</v>
      </c>
    </row>
    <row r="42" spans="1:7" x14ac:dyDescent="0.35">
      <c r="A42" s="1">
        <v>1.12500000000001</v>
      </c>
      <c r="B42">
        <v>0</v>
      </c>
      <c r="C42">
        <v>0</v>
      </c>
      <c r="D42">
        <v>2</v>
      </c>
      <c r="E42" t="s">
        <v>5</v>
      </c>
      <c r="F42" t="s">
        <v>7</v>
      </c>
      <c r="G42" t="s">
        <v>9</v>
      </c>
    </row>
    <row r="43" spans="1:7" x14ac:dyDescent="0.35">
      <c r="A43" s="1">
        <v>1.1458333333333399</v>
      </c>
      <c r="B43">
        <v>0</v>
      </c>
      <c r="C43">
        <v>0</v>
      </c>
      <c r="D43">
        <v>2</v>
      </c>
      <c r="E43" t="s">
        <v>5</v>
      </c>
      <c r="F43" t="s">
        <v>7</v>
      </c>
      <c r="G43" t="s">
        <v>9</v>
      </c>
    </row>
    <row r="44" spans="1:7" x14ac:dyDescent="0.35">
      <c r="A44" s="1">
        <v>1.1666666666666701</v>
      </c>
      <c r="B44">
        <v>0</v>
      </c>
      <c r="C44">
        <v>0</v>
      </c>
      <c r="D44">
        <v>2</v>
      </c>
      <c r="E44" t="s">
        <v>5</v>
      </c>
      <c r="F44" t="s">
        <v>7</v>
      </c>
      <c r="G44" t="s">
        <v>9</v>
      </c>
    </row>
    <row r="45" spans="1:7" x14ac:dyDescent="0.35">
      <c r="A45" s="2">
        <v>0.29166666666666669</v>
      </c>
      <c r="B45">
        <v>0</v>
      </c>
      <c r="C45">
        <v>0</v>
      </c>
      <c r="D45">
        <v>0</v>
      </c>
      <c r="E45" t="s">
        <v>5</v>
      </c>
      <c r="F45" t="s">
        <v>7</v>
      </c>
      <c r="G45" t="s">
        <v>10</v>
      </c>
    </row>
    <row r="46" spans="1:7" x14ac:dyDescent="0.35">
      <c r="A46" s="1">
        <v>0.3125</v>
      </c>
      <c r="B46">
        <v>0</v>
      </c>
      <c r="C46">
        <v>0</v>
      </c>
      <c r="D46">
        <v>0</v>
      </c>
      <c r="E46" t="s">
        <v>5</v>
      </c>
      <c r="F46" t="s">
        <v>7</v>
      </c>
      <c r="G46" t="s">
        <v>10</v>
      </c>
    </row>
    <row r="47" spans="1:7" x14ac:dyDescent="0.35">
      <c r="A47" s="1">
        <v>0.33333333333333331</v>
      </c>
      <c r="B47">
        <v>4</v>
      </c>
      <c r="C47">
        <v>0</v>
      </c>
      <c r="D47">
        <v>4</v>
      </c>
      <c r="E47" t="s">
        <v>5</v>
      </c>
      <c r="F47" t="s">
        <v>7</v>
      </c>
      <c r="G47" t="s">
        <v>10</v>
      </c>
    </row>
    <row r="48" spans="1:7" x14ac:dyDescent="0.35">
      <c r="A48" s="1">
        <v>0.35416666666666669</v>
      </c>
      <c r="B48">
        <v>4</v>
      </c>
      <c r="C48">
        <v>0</v>
      </c>
      <c r="D48">
        <v>8</v>
      </c>
      <c r="E48" t="s">
        <v>5</v>
      </c>
      <c r="F48" t="s">
        <v>7</v>
      </c>
      <c r="G48" t="s">
        <v>10</v>
      </c>
    </row>
    <row r="49" spans="1:7" x14ac:dyDescent="0.35">
      <c r="A49" s="1">
        <v>0.375</v>
      </c>
      <c r="B49">
        <v>10</v>
      </c>
      <c r="C49">
        <v>0</v>
      </c>
      <c r="D49">
        <v>18</v>
      </c>
      <c r="E49" t="s">
        <v>5</v>
      </c>
      <c r="F49" t="s">
        <v>7</v>
      </c>
      <c r="G49" t="s">
        <v>10</v>
      </c>
    </row>
    <row r="50" spans="1:7" x14ac:dyDescent="0.35">
      <c r="A50" s="1">
        <v>0.39583333333333331</v>
      </c>
      <c r="B50">
        <v>3</v>
      </c>
      <c r="C50">
        <v>6</v>
      </c>
      <c r="D50">
        <v>15</v>
      </c>
      <c r="E50" t="s">
        <v>5</v>
      </c>
      <c r="F50" t="s">
        <v>7</v>
      </c>
      <c r="G50" t="s">
        <v>10</v>
      </c>
    </row>
    <row r="51" spans="1:7" x14ac:dyDescent="0.35">
      <c r="A51" s="1">
        <v>0.41666666666666669</v>
      </c>
      <c r="B51">
        <v>8</v>
      </c>
      <c r="C51">
        <v>5</v>
      </c>
      <c r="D51">
        <v>18</v>
      </c>
      <c r="E51" t="s">
        <v>5</v>
      </c>
      <c r="F51" t="s">
        <v>7</v>
      </c>
      <c r="G51" t="s">
        <v>10</v>
      </c>
    </row>
    <row r="52" spans="1:7" x14ac:dyDescent="0.35">
      <c r="A52" s="1">
        <v>0.4375</v>
      </c>
      <c r="B52">
        <v>6</v>
      </c>
      <c r="C52">
        <v>9</v>
      </c>
      <c r="D52">
        <v>15</v>
      </c>
      <c r="E52" t="s">
        <v>5</v>
      </c>
      <c r="F52" t="s">
        <v>7</v>
      </c>
      <c r="G52" t="s">
        <v>10</v>
      </c>
    </row>
    <row r="53" spans="1:7" x14ac:dyDescent="0.35">
      <c r="A53" s="1">
        <v>0.45833333333333331</v>
      </c>
      <c r="B53">
        <v>13</v>
      </c>
      <c r="C53">
        <v>11</v>
      </c>
      <c r="D53">
        <v>17</v>
      </c>
      <c r="E53" t="s">
        <v>5</v>
      </c>
      <c r="F53" t="s">
        <v>7</v>
      </c>
      <c r="G53" t="s">
        <v>10</v>
      </c>
    </row>
    <row r="54" spans="1:7" x14ac:dyDescent="0.35">
      <c r="A54" s="1">
        <v>0.47916666666666669</v>
      </c>
      <c r="B54">
        <v>17</v>
      </c>
      <c r="C54">
        <v>10</v>
      </c>
      <c r="D54">
        <v>24</v>
      </c>
      <c r="E54" t="s">
        <v>5</v>
      </c>
      <c r="F54" t="s">
        <v>7</v>
      </c>
      <c r="G54" t="s">
        <v>10</v>
      </c>
    </row>
    <row r="55" spans="1:7" x14ac:dyDescent="0.35">
      <c r="A55" s="1">
        <v>0.5</v>
      </c>
      <c r="B55">
        <v>10</v>
      </c>
      <c r="C55">
        <v>6</v>
      </c>
      <c r="D55">
        <v>28</v>
      </c>
      <c r="E55" t="s">
        <v>5</v>
      </c>
      <c r="F55" t="s">
        <v>7</v>
      </c>
      <c r="G55" t="s">
        <v>10</v>
      </c>
    </row>
    <row r="56" spans="1:7" x14ac:dyDescent="0.35">
      <c r="A56" s="1">
        <v>0.52083333333333337</v>
      </c>
      <c r="B56">
        <v>5</v>
      </c>
      <c r="C56">
        <v>12</v>
      </c>
      <c r="D56">
        <v>21</v>
      </c>
      <c r="E56" t="s">
        <v>5</v>
      </c>
      <c r="F56" t="s">
        <v>7</v>
      </c>
      <c r="G56" t="s">
        <v>10</v>
      </c>
    </row>
    <row r="57" spans="1:7" x14ac:dyDescent="0.35">
      <c r="A57" s="1">
        <v>0.54166666666666663</v>
      </c>
      <c r="B57">
        <v>8</v>
      </c>
      <c r="C57">
        <v>10</v>
      </c>
      <c r="D57">
        <v>19</v>
      </c>
      <c r="E57" t="s">
        <v>5</v>
      </c>
      <c r="F57" t="s">
        <v>7</v>
      </c>
      <c r="G57" t="s">
        <v>10</v>
      </c>
    </row>
    <row r="58" spans="1:7" x14ac:dyDescent="0.35">
      <c r="A58" s="1">
        <v>0.5625</v>
      </c>
      <c r="B58">
        <v>4</v>
      </c>
      <c r="C58">
        <v>6</v>
      </c>
      <c r="D58">
        <v>17</v>
      </c>
      <c r="E58" t="s">
        <v>5</v>
      </c>
      <c r="F58" t="s">
        <v>7</v>
      </c>
      <c r="G58" t="s">
        <v>10</v>
      </c>
    </row>
    <row r="59" spans="1:7" x14ac:dyDescent="0.35">
      <c r="A59" s="1">
        <v>0.58333333333333337</v>
      </c>
      <c r="B59">
        <v>41</v>
      </c>
      <c r="C59">
        <v>11</v>
      </c>
      <c r="D59">
        <v>47</v>
      </c>
      <c r="E59" t="s">
        <v>5</v>
      </c>
      <c r="F59" t="s">
        <v>7</v>
      </c>
      <c r="G59" t="s">
        <v>10</v>
      </c>
    </row>
    <row r="60" spans="1:7" x14ac:dyDescent="0.35">
      <c r="A60" s="1">
        <v>0.60416666666666663</v>
      </c>
      <c r="B60">
        <v>13</v>
      </c>
      <c r="C60">
        <v>18</v>
      </c>
      <c r="D60">
        <v>42</v>
      </c>
      <c r="E60" t="s">
        <v>5</v>
      </c>
      <c r="F60" t="s">
        <v>7</v>
      </c>
      <c r="G60" t="s">
        <v>10</v>
      </c>
    </row>
    <row r="61" spans="1:7" x14ac:dyDescent="0.35">
      <c r="A61" s="1">
        <v>0.625</v>
      </c>
      <c r="B61">
        <v>36</v>
      </c>
      <c r="C61">
        <v>8</v>
      </c>
      <c r="D61">
        <v>70</v>
      </c>
      <c r="E61" t="s">
        <v>5</v>
      </c>
      <c r="F61" t="s">
        <v>7</v>
      </c>
      <c r="G61" t="s">
        <v>10</v>
      </c>
    </row>
    <row r="62" spans="1:7" x14ac:dyDescent="0.35">
      <c r="A62" s="1">
        <v>0.64583333333333337</v>
      </c>
      <c r="B62">
        <v>17</v>
      </c>
      <c r="C62">
        <v>16</v>
      </c>
      <c r="D62">
        <v>71</v>
      </c>
      <c r="E62" t="s">
        <v>5</v>
      </c>
      <c r="F62" t="s">
        <v>7</v>
      </c>
      <c r="G62" t="s">
        <v>10</v>
      </c>
    </row>
    <row r="63" spans="1:7" x14ac:dyDescent="0.35">
      <c r="A63" s="1">
        <v>0.66666666666666663</v>
      </c>
      <c r="B63">
        <v>60</v>
      </c>
      <c r="C63">
        <v>13</v>
      </c>
      <c r="D63">
        <v>118</v>
      </c>
      <c r="E63" t="s">
        <v>5</v>
      </c>
      <c r="F63" t="s">
        <v>7</v>
      </c>
      <c r="G63" t="s">
        <v>10</v>
      </c>
    </row>
    <row r="64" spans="1:7" x14ac:dyDescent="0.35">
      <c r="A64" s="1">
        <v>0.6875</v>
      </c>
      <c r="B64">
        <v>46</v>
      </c>
      <c r="C64">
        <v>20</v>
      </c>
      <c r="D64">
        <v>144</v>
      </c>
      <c r="E64" t="s">
        <v>5</v>
      </c>
      <c r="F64" t="s">
        <v>7</v>
      </c>
      <c r="G64" t="s">
        <v>10</v>
      </c>
    </row>
    <row r="65" spans="1:7" x14ac:dyDescent="0.35">
      <c r="A65" s="1">
        <v>0.70833333333333337</v>
      </c>
      <c r="B65">
        <v>46</v>
      </c>
      <c r="C65">
        <v>22</v>
      </c>
      <c r="D65">
        <v>168</v>
      </c>
      <c r="E65" t="s">
        <v>5</v>
      </c>
      <c r="F65" t="s">
        <v>7</v>
      </c>
      <c r="G65" t="s">
        <v>10</v>
      </c>
    </row>
    <row r="66" spans="1:7" x14ac:dyDescent="0.35">
      <c r="A66" s="1">
        <v>0.72916666666666663</v>
      </c>
      <c r="B66">
        <v>51</v>
      </c>
      <c r="C66">
        <v>26</v>
      </c>
      <c r="D66">
        <v>193</v>
      </c>
      <c r="E66" t="s">
        <v>5</v>
      </c>
      <c r="F66" t="s">
        <v>7</v>
      </c>
      <c r="G66" t="s">
        <v>10</v>
      </c>
    </row>
    <row r="67" spans="1:7" x14ac:dyDescent="0.35">
      <c r="A67" s="1">
        <v>0.75</v>
      </c>
      <c r="B67">
        <v>62</v>
      </c>
      <c r="C67">
        <v>29</v>
      </c>
      <c r="D67">
        <v>226</v>
      </c>
      <c r="E67" t="s">
        <v>5</v>
      </c>
      <c r="F67" t="s">
        <v>7</v>
      </c>
      <c r="G67" t="s">
        <v>10</v>
      </c>
    </row>
    <row r="68" spans="1:7" x14ac:dyDescent="0.35">
      <c r="A68" s="1">
        <v>0.77083333333333337</v>
      </c>
      <c r="B68">
        <v>110</v>
      </c>
      <c r="C68">
        <v>26</v>
      </c>
      <c r="D68">
        <v>310</v>
      </c>
      <c r="E68" t="s">
        <v>5</v>
      </c>
      <c r="F68" t="s">
        <v>7</v>
      </c>
      <c r="G68" t="s">
        <v>10</v>
      </c>
    </row>
    <row r="69" spans="1:7" x14ac:dyDescent="0.35">
      <c r="A69" s="1">
        <v>0.79166666666666663</v>
      </c>
      <c r="B69">
        <v>102</v>
      </c>
      <c r="C69">
        <v>66</v>
      </c>
      <c r="D69">
        <v>346</v>
      </c>
      <c r="E69" t="s">
        <v>5</v>
      </c>
      <c r="F69" t="s">
        <v>7</v>
      </c>
      <c r="G69" t="s">
        <v>10</v>
      </c>
    </row>
    <row r="70" spans="1:7" x14ac:dyDescent="0.35">
      <c r="A70" s="1">
        <v>0.8125</v>
      </c>
      <c r="B70">
        <v>106</v>
      </c>
      <c r="C70">
        <v>56</v>
      </c>
      <c r="D70">
        <v>396</v>
      </c>
      <c r="E70" t="s">
        <v>5</v>
      </c>
      <c r="F70" t="s">
        <v>7</v>
      </c>
      <c r="G70" t="s">
        <v>10</v>
      </c>
    </row>
    <row r="71" spans="1:7" x14ac:dyDescent="0.35">
      <c r="A71" s="1">
        <v>0.83333333333333337</v>
      </c>
      <c r="B71">
        <v>102</v>
      </c>
      <c r="C71">
        <v>70</v>
      </c>
      <c r="D71">
        <v>428</v>
      </c>
      <c r="E71" t="s">
        <v>5</v>
      </c>
      <c r="F71" t="s">
        <v>7</v>
      </c>
      <c r="G71" t="s">
        <v>10</v>
      </c>
    </row>
    <row r="72" spans="1:7" x14ac:dyDescent="0.35">
      <c r="A72" s="1">
        <v>0.85416666666666696</v>
      </c>
      <c r="B72">
        <v>24</v>
      </c>
      <c r="C72">
        <v>160</v>
      </c>
      <c r="D72">
        <v>292</v>
      </c>
      <c r="E72" t="s">
        <v>5</v>
      </c>
      <c r="F72" t="s">
        <v>7</v>
      </c>
      <c r="G72" t="s">
        <v>10</v>
      </c>
    </row>
    <row r="73" spans="1:7" x14ac:dyDescent="0.35">
      <c r="A73" s="1">
        <v>0.875</v>
      </c>
      <c r="B73">
        <v>0</v>
      </c>
      <c r="C73">
        <v>292</v>
      </c>
      <c r="D73">
        <v>0</v>
      </c>
      <c r="E73" t="s">
        <v>5</v>
      </c>
      <c r="F73" t="s">
        <v>7</v>
      </c>
      <c r="G73" t="s">
        <v>10</v>
      </c>
    </row>
    <row r="74" spans="1:7" x14ac:dyDescent="0.35">
      <c r="A74" s="1">
        <v>0.89583333333333304</v>
      </c>
      <c r="B74">
        <v>0</v>
      </c>
      <c r="C74">
        <v>0</v>
      </c>
      <c r="D74">
        <v>0</v>
      </c>
      <c r="E74" t="s">
        <v>5</v>
      </c>
      <c r="F74" t="s">
        <v>7</v>
      </c>
      <c r="G74" t="s">
        <v>10</v>
      </c>
    </row>
    <row r="75" spans="1:7" x14ac:dyDescent="0.35">
      <c r="A75" s="1">
        <v>0.91666666666666696</v>
      </c>
      <c r="B75">
        <v>0</v>
      </c>
      <c r="C75">
        <v>0</v>
      </c>
      <c r="D75">
        <v>0</v>
      </c>
      <c r="E75" t="s">
        <v>5</v>
      </c>
      <c r="F75" t="s">
        <v>7</v>
      </c>
      <c r="G75" t="s">
        <v>10</v>
      </c>
    </row>
    <row r="76" spans="1:7" x14ac:dyDescent="0.35">
      <c r="A76" s="1">
        <v>0.9375</v>
      </c>
      <c r="B76">
        <v>0</v>
      </c>
      <c r="C76">
        <v>0</v>
      </c>
      <c r="D76">
        <v>0</v>
      </c>
      <c r="E76" t="s">
        <v>5</v>
      </c>
      <c r="F76" t="s">
        <v>7</v>
      </c>
      <c r="G76" t="s">
        <v>10</v>
      </c>
    </row>
    <row r="77" spans="1:7" x14ac:dyDescent="0.35">
      <c r="A77" s="1">
        <v>0.95833333333333404</v>
      </c>
      <c r="B77">
        <v>0</v>
      </c>
      <c r="C77">
        <v>0</v>
      </c>
      <c r="D77">
        <v>0</v>
      </c>
      <c r="E77" t="s">
        <v>5</v>
      </c>
      <c r="F77" t="s">
        <v>7</v>
      </c>
      <c r="G77" t="s">
        <v>10</v>
      </c>
    </row>
    <row r="78" spans="1:7" x14ac:dyDescent="0.35">
      <c r="A78" s="1">
        <v>0.97916666666666696</v>
      </c>
      <c r="B78">
        <v>0</v>
      </c>
      <c r="C78">
        <v>0</v>
      </c>
      <c r="D78">
        <v>0</v>
      </c>
      <c r="E78" t="s">
        <v>5</v>
      </c>
      <c r="F78" t="s">
        <v>7</v>
      </c>
      <c r="G78" t="s">
        <v>10</v>
      </c>
    </row>
    <row r="79" spans="1:7" x14ac:dyDescent="0.35">
      <c r="A79" s="1">
        <v>1</v>
      </c>
      <c r="B79">
        <v>0</v>
      </c>
      <c r="C79">
        <v>0</v>
      </c>
      <c r="D79">
        <v>0</v>
      </c>
      <c r="E79" t="s">
        <v>5</v>
      </c>
      <c r="F79" t="s">
        <v>7</v>
      </c>
      <c r="G79" t="s">
        <v>10</v>
      </c>
    </row>
    <row r="80" spans="1:7" x14ac:dyDescent="0.35">
      <c r="A80" s="1">
        <v>1.0208333333333399</v>
      </c>
      <c r="B80">
        <v>0</v>
      </c>
      <c r="C80">
        <v>0</v>
      </c>
      <c r="D80">
        <v>0</v>
      </c>
      <c r="E80" t="s">
        <v>5</v>
      </c>
      <c r="F80" t="s">
        <v>7</v>
      </c>
      <c r="G80" t="s">
        <v>10</v>
      </c>
    </row>
    <row r="81" spans="1:7" x14ac:dyDescent="0.35">
      <c r="A81" s="1">
        <v>1.0416666666666701</v>
      </c>
      <c r="B81">
        <v>0</v>
      </c>
      <c r="C81">
        <v>0</v>
      </c>
      <c r="D81">
        <v>0</v>
      </c>
      <c r="E81" t="s">
        <v>5</v>
      </c>
      <c r="F81" t="s">
        <v>7</v>
      </c>
      <c r="G81" t="s">
        <v>10</v>
      </c>
    </row>
    <row r="82" spans="1:7" x14ac:dyDescent="0.35">
      <c r="A82" s="1">
        <v>1.0625</v>
      </c>
      <c r="B82">
        <v>0</v>
      </c>
      <c r="C82">
        <v>0</v>
      </c>
      <c r="D82">
        <v>0</v>
      </c>
      <c r="E82" t="s">
        <v>5</v>
      </c>
      <c r="F82" t="s">
        <v>7</v>
      </c>
      <c r="G82" t="s">
        <v>10</v>
      </c>
    </row>
    <row r="83" spans="1:7" x14ac:dyDescent="0.35">
      <c r="A83" s="1">
        <v>1.0833333333333399</v>
      </c>
      <c r="B83">
        <v>0</v>
      </c>
      <c r="C83">
        <v>0</v>
      </c>
      <c r="D83">
        <v>0</v>
      </c>
      <c r="E83" t="s">
        <v>5</v>
      </c>
      <c r="F83" t="s">
        <v>7</v>
      </c>
      <c r="G83" t="s">
        <v>10</v>
      </c>
    </row>
    <row r="84" spans="1:7" x14ac:dyDescent="0.35">
      <c r="A84" s="1">
        <v>1.1041666666666701</v>
      </c>
      <c r="B84">
        <v>0</v>
      </c>
      <c r="C84">
        <v>0</v>
      </c>
      <c r="D84">
        <v>0</v>
      </c>
      <c r="E84" t="s">
        <v>5</v>
      </c>
      <c r="F84" t="s">
        <v>7</v>
      </c>
      <c r="G84" t="s">
        <v>10</v>
      </c>
    </row>
    <row r="85" spans="1:7" x14ac:dyDescent="0.35">
      <c r="A85" s="1">
        <v>1.12500000000001</v>
      </c>
      <c r="B85">
        <v>0</v>
      </c>
      <c r="C85">
        <v>0</v>
      </c>
      <c r="D85">
        <v>0</v>
      </c>
      <c r="E85" t="s">
        <v>5</v>
      </c>
      <c r="F85" t="s">
        <v>7</v>
      </c>
      <c r="G85" t="s">
        <v>10</v>
      </c>
    </row>
    <row r="86" spans="1:7" x14ac:dyDescent="0.35">
      <c r="A86" s="1">
        <v>1.1458333333333399</v>
      </c>
      <c r="B86">
        <v>0</v>
      </c>
      <c r="C86">
        <v>0</v>
      </c>
      <c r="D86">
        <v>0</v>
      </c>
      <c r="E86" t="s">
        <v>5</v>
      </c>
      <c r="F86" t="s">
        <v>7</v>
      </c>
      <c r="G86" t="s">
        <v>10</v>
      </c>
    </row>
    <row r="87" spans="1:7" x14ac:dyDescent="0.35">
      <c r="A87" s="1">
        <v>1.1666666666666701</v>
      </c>
      <c r="B87">
        <v>0</v>
      </c>
      <c r="C87">
        <v>0</v>
      </c>
      <c r="D87">
        <v>0</v>
      </c>
      <c r="E87" t="s">
        <v>5</v>
      </c>
      <c r="F87" t="s">
        <v>7</v>
      </c>
      <c r="G87" t="s">
        <v>10</v>
      </c>
    </row>
    <row r="88" spans="1:7" x14ac:dyDescent="0.35">
      <c r="A88" s="2">
        <v>0.29166666666666669</v>
      </c>
      <c r="B88">
        <v>71</v>
      </c>
      <c r="C88">
        <v>0</v>
      </c>
      <c r="D88">
        <v>71</v>
      </c>
      <c r="E88" t="s">
        <v>5</v>
      </c>
      <c r="F88" t="s">
        <v>11</v>
      </c>
      <c r="G88" t="s">
        <v>9</v>
      </c>
    </row>
    <row r="89" spans="1:7" x14ac:dyDescent="0.35">
      <c r="A89" s="1">
        <v>0.3125</v>
      </c>
      <c r="B89">
        <v>87</v>
      </c>
      <c r="C89">
        <v>4</v>
      </c>
      <c r="D89">
        <v>154</v>
      </c>
      <c r="E89" t="s">
        <v>5</v>
      </c>
      <c r="F89" t="s">
        <v>11</v>
      </c>
      <c r="G89" t="s">
        <v>9</v>
      </c>
    </row>
    <row r="90" spans="1:7" x14ac:dyDescent="0.35">
      <c r="A90" s="1">
        <v>0.33333333333333331</v>
      </c>
      <c r="B90">
        <v>46</v>
      </c>
      <c r="C90">
        <v>23</v>
      </c>
      <c r="D90">
        <v>177</v>
      </c>
      <c r="E90" t="s">
        <v>5</v>
      </c>
      <c r="F90" t="s">
        <v>11</v>
      </c>
      <c r="G90" t="s">
        <v>9</v>
      </c>
    </row>
    <row r="91" spans="1:7" x14ac:dyDescent="0.35">
      <c r="A91" s="1">
        <v>0.35416666666666669</v>
      </c>
      <c r="B91">
        <v>79</v>
      </c>
      <c r="C91">
        <v>36</v>
      </c>
      <c r="D91">
        <v>220</v>
      </c>
      <c r="E91" t="s">
        <v>5</v>
      </c>
      <c r="F91" t="s">
        <v>11</v>
      </c>
      <c r="G91" t="s">
        <v>9</v>
      </c>
    </row>
    <row r="92" spans="1:7" x14ac:dyDescent="0.35">
      <c r="A92" s="1">
        <v>0.375</v>
      </c>
      <c r="B92">
        <v>161</v>
      </c>
      <c r="C92">
        <v>57</v>
      </c>
      <c r="D92">
        <v>324</v>
      </c>
      <c r="E92" t="s">
        <v>5</v>
      </c>
      <c r="F92" t="s">
        <v>11</v>
      </c>
      <c r="G92" t="s">
        <v>9</v>
      </c>
    </row>
    <row r="93" spans="1:7" x14ac:dyDescent="0.35">
      <c r="A93" s="1">
        <v>0.39583333333333331</v>
      </c>
      <c r="B93">
        <v>149</v>
      </c>
      <c r="C93">
        <v>131</v>
      </c>
      <c r="D93">
        <v>342</v>
      </c>
      <c r="E93" t="s">
        <v>5</v>
      </c>
      <c r="F93" t="s">
        <v>11</v>
      </c>
      <c r="G93" t="s">
        <v>9</v>
      </c>
    </row>
    <row r="94" spans="1:7" x14ac:dyDescent="0.35">
      <c r="A94" s="1">
        <v>0.41666666666666669</v>
      </c>
      <c r="B94">
        <v>116</v>
      </c>
      <c r="C94">
        <v>107</v>
      </c>
      <c r="D94">
        <v>351</v>
      </c>
      <c r="E94" t="s">
        <v>5</v>
      </c>
      <c r="F94" t="s">
        <v>11</v>
      </c>
      <c r="G94" t="s">
        <v>9</v>
      </c>
    </row>
    <row r="95" spans="1:7" x14ac:dyDescent="0.35">
      <c r="A95" s="1">
        <v>0.4375</v>
      </c>
      <c r="B95">
        <v>81</v>
      </c>
      <c r="C95">
        <v>84</v>
      </c>
      <c r="D95">
        <v>348</v>
      </c>
      <c r="E95" t="s">
        <v>5</v>
      </c>
      <c r="F95" t="s">
        <v>11</v>
      </c>
      <c r="G95" t="s">
        <v>9</v>
      </c>
    </row>
    <row r="96" spans="1:7" x14ac:dyDescent="0.35">
      <c r="A96" s="1">
        <v>0.45833333333333331</v>
      </c>
      <c r="B96">
        <v>105</v>
      </c>
      <c r="C96">
        <v>96</v>
      </c>
      <c r="D96">
        <v>357</v>
      </c>
      <c r="E96" t="s">
        <v>5</v>
      </c>
      <c r="F96" t="s">
        <v>11</v>
      </c>
      <c r="G96" t="s">
        <v>9</v>
      </c>
    </row>
    <row r="97" spans="1:7" x14ac:dyDescent="0.35">
      <c r="A97" s="1">
        <v>0.47916666666666669</v>
      </c>
      <c r="B97">
        <v>139</v>
      </c>
      <c r="C97">
        <v>110</v>
      </c>
      <c r="D97">
        <v>386</v>
      </c>
      <c r="E97" t="s">
        <v>5</v>
      </c>
      <c r="F97" t="s">
        <v>11</v>
      </c>
      <c r="G97" t="s">
        <v>9</v>
      </c>
    </row>
    <row r="98" spans="1:7" x14ac:dyDescent="0.35">
      <c r="A98" s="1">
        <v>0.5</v>
      </c>
      <c r="B98">
        <v>103</v>
      </c>
      <c r="C98">
        <v>115</v>
      </c>
      <c r="D98">
        <v>374</v>
      </c>
      <c r="E98" t="s">
        <v>5</v>
      </c>
      <c r="F98" t="s">
        <v>11</v>
      </c>
      <c r="G98" t="s">
        <v>9</v>
      </c>
    </row>
    <row r="99" spans="1:7" x14ac:dyDescent="0.35">
      <c r="A99" s="1">
        <v>0.52083333333333337</v>
      </c>
      <c r="B99">
        <v>158</v>
      </c>
      <c r="C99">
        <v>155</v>
      </c>
      <c r="D99">
        <v>377</v>
      </c>
      <c r="E99" t="s">
        <v>5</v>
      </c>
      <c r="F99" t="s">
        <v>11</v>
      </c>
      <c r="G99" t="s">
        <v>9</v>
      </c>
    </row>
    <row r="100" spans="1:7" x14ac:dyDescent="0.35">
      <c r="A100" s="1">
        <v>0.54166666666666663</v>
      </c>
      <c r="B100">
        <v>114</v>
      </c>
      <c r="C100">
        <v>125</v>
      </c>
      <c r="D100">
        <v>366</v>
      </c>
      <c r="E100" t="s">
        <v>5</v>
      </c>
      <c r="F100" t="s">
        <v>11</v>
      </c>
      <c r="G100" t="s">
        <v>9</v>
      </c>
    </row>
    <row r="101" spans="1:7" x14ac:dyDescent="0.35">
      <c r="A101" s="1">
        <v>0.5625</v>
      </c>
      <c r="B101">
        <v>138</v>
      </c>
      <c r="C101">
        <v>152</v>
      </c>
      <c r="D101">
        <v>352</v>
      </c>
      <c r="E101" t="s">
        <v>5</v>
      </c>
      <c r="F101" t="s">
        <v>11</v>
      </c>
      <c r="G101" t="s">
        <v>9</v>
      </c>
    </row>
    <row r="102" spans="1:7" x14ac:dyDescent="0.35">
      <c r="A102" s="1">
        <v>0.58333333333333337</v>
      </c>
      <c r="B102">
        <v>152</v>
      </c>
      <c r="C102">
        <v>96</v>
      </c>
      <c r="D102">
        <v>408</v>
      </c>
      <c r="E102" t="s">
        <v>5</v>
      </c>
      <c r="F102" t="s">
        <v>11</v>
      </c>
      <c r="G102" t="s">
        <v>9</v>
      </c>
    </row>
    <row r="103" spans="1:7" x14ac:dyDescent="0.35">
      <c r="A103" s="1">
        <v>0.60416666666666663</v>
      </c>
      <c r="B103">
        <v>102</v>
      </c>
      <c r="C103">
        <v>153</v>
      </c>
      <c r="D103">
        <v>357</v>
      </c>
      <c r="E103" t="s">
        <v>5</v>
      </c>
      <c r="F103" t="s">
        <v>11</v>
      </c>
      <c r="G103" t="s">
        <v>9</v>
      </c>
    </row>
    <row r="104" spans="1:7" x14ac:dyDescent="0.35">
      <c r="A104" s="1">
        <v>0.625</v>
      </c>
      <c r="B104">
        <v>126</v>
      </c>
      <c r="C104">
        <v>110</v>
      </c>
      <c r="D104">
        <v>373</v>
      </c>
      <c r="E104" t="s">
        <v>5</v>
      </c>
      <c r="F104" t="s">
        <v>11</v>
      </c>
      <c r="G104" t="s">
        <v>9</v>
      </c>
    </row>
    <row r="105" spans="1:7" x14ac:dyDescent="0.35">
      <c r="A105" s="1">
        <v>0.64583333333333337</v>
      </c>
      <c r="B105">
        <v>90</v>
      </c>
      <c r="C105">
        <v>125</v>
      </c>
      <c r="D105">
        <v>338</v>
      </c>
      <c r="E105" t="s">
        <v>5</v>
      </c>
      <c r="F105" t="s">
        <v>11</v>
      </c>
      <c r="G105" t="s">
        <v>9</v>
      </c>
    </row>
    <row r="106" spans="1:7" x14ac:dyDescent="0.35">
      <c r="A106" s="1">
        <v>0.66666666666666663</v>
      </c>
      <c r="B106">
        <v>226</v>
      </c>
      <c r="C106">
        <v>200</v>
      </c>
      <c r="D106">
        <v>364</v>
      </c>
      <c r="E106" t="s">
        <v>5</v>
      </c>
      <c r="F106" t="s">
        <v>11</v>
      </c>
      <c r="G106" t="s">
        <v>9</v>
      </c>
    </row>
    <row r="107" spans="1:7" x14ac:dyDescent="0.35">
      <c r="A107" s="1">
        <v>0.6875</v>
      </c>
      <c r="B107">
        <v>119</v>
      </c>
      <c r="C107">
        <v>85</v>
      </c>
      <c r="D107">
        <v>398</v>
      </c>
      <c r="E107" t="s">
        <v>5</v>
      </c>
      <c r="F107" t="s">
        <v>11</v>
      </c>
      <c r="G107" t="s">
        <v>9</v>
      </c>
    </row>
    <row r="108" spans="1:7" x14ac:dyDescent="0.35">
      <c r="A108" s="1">
        <v>0.70833333333333337</v>
      </c>
      <c r="B108">
        <v>138</v>
      </c>
      <c r="C108">
        <v>76</v>
      </c>
      <c r="D108">
        <v>460</v>
      </c>
      <c r="E108" t="s">
        <v>5</v>
      </c>
      <c r="F108" t="s">
        <v>11</v>
      </c>
      <c r="G108" t="s">
        <v>9</v>
      </c>
    </row>
    <row r="109" spans="1:7" x14ac:dyDescent="0.35">
      <c r="A109" s="1">
        <v>0.72916666666666663</v>
      </c>
      <c r="B109">
        <v>130</v>
      </c>
      <c r="C109">
        <v>88</v>
      </c>
      <c r="D109">
        <v>502</v>
      </c>
      <c r="E109" t="s">
        <v>5</v>
      </c>
      <c r="F109" t="s">
        <v>11</v>
      </c>
      <c r="G109" t="s">
        <v>9</v>
      </c>
    </row>
    <row r="110" spans="1:7" x14ac:dyDescent="0.35">
      <c r="A110" s="1">
        <v>0.75</v>
      </c>
      <c r="B110">
        <v>180</v>
      </c>
      <c r="C110">
        <v>116</v>
      </c>
      <c r="D110">
        <v>566</v>
      </c>
      <c r="E110" t="s">
        <v>5</v>
      </c>
      <c r="F110" t="s">
        <v>11</v>
      </c>
      <c r="G110" t="s">
        <v>9</v>
      </c>
    </row>
    <row r="111" spans="1:7" x14ac:dyDescent="0.35">
      <c r="A111" s="1">
        <v>0.77083333333333337</v>
      </c>
      <c r="B111">
        <v>84</v>
      </c>
      <c r="C111">
        <v>64</v>
      </c>
      <c r="D111">
        <v>586</v>
      </c>
      <c r="E111" t="s">
        <v>5</v>
      </c>
      <c r="F111" t="s">
        <v>11</v>
      </c>
      <c r="G111" t="s">
        <v>9</v>
      </c>
    </row>
    <row r="112" spans="1:7" x14ac:dyDescent="0.35">
      <c r="A112" s="1">
        <v>0.79166666666666663</v>
      </c>
      <c r="B112">
        <v>209</v>
      </c>
      <c r="C112">
        <v>154</v>
      </c>
      <c r="D112">
        <v>641</v>
      </c>
      <c r="E112" t="s">
        <v>5</v>
      </c>
      <c r="F112" t="s">
        <v>11</v>
      </c>
      <c r="G112" t="s">
        <v>9</v>
      </c>
    </row>
    <row r="113" spans="1:7" x14ac:dyDescent="0.35">
      <c r="A113" s="1">
        <v>0.8125</v>
      </c>
      <c r="B113">
        <v>160</v>
      </c>
      <c r="C113">
        <v>182</v>
      </c>
      <c r="D113">
        <v>619</v>
      </c>
      <c r="E113" t="s">
        <v>5</v>
      </c>
      <c r="F113" t="s">
        <v>11</v>
      </c>
      <c r="G113" t="s">
        <v>9</v>
      </c>
    </row>
    <row r="114" spans="1:7" x14ac:dyDescent="0.35">
      <c r="A114" s="1">
        <v>0.83333333333333337</v>
      </c>
      <c r="B114">
        <v>230</v>
      </c>
      <c r="C114">
        <v>161</v>
      </c>
      <c r="D114">
        <v>688</v>
      </c>
      <c r="E114" t="s">
        <v>5</v>
      </c>
      <c r="F114" t="s">
        <v>11</v>
      </c>
      <c r="G114" t="s">
        <v>9</v>
      </c>
    </row>
    <row r="115" spans="1:7" x14ac:dyDescent="0.35">
      <c r="A115" s="1">
        <v>0.85416666666666696</v>
      </c>
      <c r="B115">
        <v>136</v>
      </c>
      <c r="C115">
        <v>132</v>
      </c>
      <c r="D115">
        <v>692</v>
      </c>
      <c r="E115" t="s">
        <v>5</v>
      </c>
      <c r="F115" t="s">
        <v>11</v>
      </c>
      <c r="G115" t="s">
        <v>9</v>
      </c>
    </row>
    <row r="116" spans="1:7" x14ac:dyDescent="0.35">
      <c r="A116" s="1">
        <v>0.875</v>
      </c>
      <c r="B116">
        <v>220</v>
      </c>
      <c r="C116">
        <v>124</v>
      </c>
      <c r="D116">
        <v>788</v>
      </c>
      <c r="E116" t="s">
        <v>5</v>
      </c>
      <c r="F116" t="s">
        <v>11</v>
      </c>
      <c r="G116" t="s">
        <v>9</v>
      </c>
    </row>
    <row r="117" spans="1:7" x14ac:dyDescent="0.35">
      <c r="A117" s="1">
        <v>0.89583333333333304</v>
      </c>
      <c r="B117">
        <v>144</v>
      </c>
      <c r="C117">
        <v>153</v>
      </c>
      <c r="D117">
        <v>779</v>
      </c>
      <c r="E117" t="s">
        <v>5</v>
      </c>
      <c r="F117" t="s">
        <v>11</v>
      </c>
      <c r="G117" t="s">
        <v>9</v>
      </c>
    </row>
    <row r="118" spans="1:7" x14ac:dyDescent="0.35">
      <c r="A118" s="1">
        <v>0.91666666666666696</v>
      </c>
      <c r="B118">
        <v>168</v>
      </c>
      <c r="C118">
        <v>203</v>
      </c>
      <c r="D118">
        <v>744</v>
      </c>
      <c r="E118" t="s">
        <v>5</v>
      </c>
      <c r="F118" t="s">
        <v>11</v>
      </c>
      <c r="G118" t="s">
        <v>9</v>
      </c>
    </row>
    <row r="119" spans="1:7" x14ac:dyDescent="0.35">
      <c r="A119" s="1">
        <v>0.9375</v>
      </c>
      <c r="B119">
        <v>160</v>
      </c>
      <c r="C119">
        <v>106</v>
      </c>
      <c r="D119">
        <v>798</v>
      </c>
      <c r="E119" t="s">
        <v>5</v>
      </c>
      <c r="F119" t="s">
        <v>11</v>
      </c>
      <c r="G119" t="s">
        <v>9</v>
      </c>
    </row>
    <row r="120" spans="1:7" x14ac:dyDescent="0.35">
      <c r="A120" s="1">
        <v>0.95833333333333404</v>
      </c>
      <c r="B120">
        <v>102</v>
      </c>
      <c r="C120">
        <v>212</v>
      </c>
      <c r="D120">
        <v>688</v>
      </c>
      <c r="E120" t="s">
        <v>5</v>
      </c>
      <c r="F120" t="s">
        <v>11</v>
      </c>
      <c r="G120" t="s">
        <v>9</v>
      </c>
    </row>
    <row r="121" spans="1:7" x14ac:dyDescent="0.35">
      <c r="A121" s="1">
        <v>0.97916666666666696</v>
      </c>
      <c r="B121">
        <v>102</v>
      </c>
      <c r="C121">
        <v>178</v>
      </c>
      <c r="D121">
        <v>612</v>
      </c>
      <c r="E121" t="s">
        <v>5</v>
      </c>
      <c r="F121" t="s">
        <v>11</v>
      </c>
      <c r="G121" t="s">
        <v>9</v>
      </c>
    </row>
    <row r="122" spans="1:7" x14ac:dyDescent="0.35">
      <c r="A122" s="1">
        <v>1</v>
      </c>
      <c r="B122">
        <v>62</v>
      </c>
      <c r="C122">
        <v>156</v>
      </c>
      <c r="D122">
        <v>518</v>
      </c>
      <c r="E122" t="s">
        <v>5</v>
      </c>
      <c r="F122" t="s">
        <v>11</v>
      </c>
      <c r="G122" t="s">
        <v>9</v>
      </c>
    </row>
    <row r="123" spans="1:7" x14ac:dyDescent="0.35">
      <c r="A123" s="1">
        <v>1.0208333333333399</v>
      </c>
      <c r="B123">
        <v>60</v>
      </c>
      <c r="C123">
        <v>144</v>
      </c>
      <c r="D123">
        <v>434</v>
      </c>
      <c r="E123" t="s">
        <v>5</v>
      </c>
      <c r="F123" t="s">
        <v>11</v>
      </c>
      <c r="G123" t="s">
        <v>9</v>
      </c>
    </row>
    <row r="124" spans="1:7" x14ac:dyDescent="0.35">
      <c r="A124" s="1">
        <v>1.0416666666666701</v>
      </c>
      <c r="B124">
        <v>4</v>
      </c>
      <c r="C124">
        <v>184</v>
      </c>
      <c r="D124">
        <v>254</v>
      </c>
      <c r="E124" t="s">
        <v>5</v>
      </c>
      <c r="F124" t="s">
        <v>11</v>
      </c>
      <c r="G124" t="s">
        <v>9</v>
      </c>
    </row>
    <row r="125" spans="1:7" x14ac:dyDescent="0.35">
      <c r="A125" s="1">
        <v>1.0625</v>
      </c>
      <c r="B125">
        <v>0</v>
      </c>
      <c r="C125">
        <v>254</v>
      </c>
      <c r="D125">
        <v>0</v>
      </c>
      <c r="E125" t="s">
        <v>5</v>
      </c>
      <c r="F125" t="s">
        <v>11</v>
      </c>
      <c r="G125" t="s">
        <v>9</v>
      </c>
    </row>
    <row r="126" spans="1:7" x14ac:dyDescent="0.35">
      <c r="A126" s="1">
        <v>1.0833333333333399</v>
      </c>
      <c r="B126">
        <v>0</v>
      </c>
      <c r="C126">
        <v>0</v>
      </c>
      <c r="D126">
        <v>0</v>
      </c>
      <c r="E126" t="s">
        <v>5</v>
      </c>
      <c r="F126" t="s">
        <v>11</v>
      </c>
      <c r="G126" t="s">
        <v>9</v>
      </c>
    </row>
    <row r="127" spans="1:7" x14ac:dyDescent="0.35">
      <c r="A127" s="1">
        <v>1.1041666666666701</v>
      </c>
      <c r="B127">
        <v>0</v>
      </c>
      <c r="C127">
        <v>0</v>
      </c>
      <c r="D127">
        <v>0</v>
      </c>
      <c r="E127" t="s">
        <v>5</v>
      </c>
      <c r="F127" t="s">
        <v>11</v>
      </c>
      <c r="G127" t="s">
        <v>9</v>
      </c>
    </row>
    <row r="128" spans="1:7" x14ac:dyDescent="0.35">
      <c r="A128" s="1">
        <v>1.12500000000001</v>
      </c>
      <c r="B128">
        <v>0</v>
      </c>
      <c r="C128">
        <v>0</v>
      </c>
      <c r="D128">
        <v>0</v>
      </c>
      <c r="E128" t="s">
        <v>5</v>
      </c>
      <c r="F128" t="s">
        <v>11</v>
      </c>
      <c r="G128" t="s">
        <v>9</v>
      </c>
    </row>
    <row r="129" spans="1:7" x14ac:dyDescent="0.35">
      <c r="A129" s="1">
        <v>1.1458333333333399</v>
      </c>
      <c r="B129">
        <v>0</v>
      </c>
      <c r="C129">
        <v>0</v>
      </c>
      <c r="D129">
        <v>0</v>
      </c>
      <c r="E129" t="s">
        <v>5</v>
      </c>
      <c r="F129" t="s">
        <v>11</v>
      </c>
      <c r="G129" t="s">
        <v>9</v>
      </c>
    </row>
    <row r="130" spans="1:7" x14ac:dyDescent="0.35">
      <c r="A130" s="1">
        <v>1.1666666666666701</v>
      </c>
      <c r="B130">
        <v>0</v>
      </c>
      <c r="C130">
        <v>0</v>
      </c>
      <c r="D130">
        <v>0</v>
      </c>
      <c r="E130" t="s">
        <v>5</v>
      </c>
      <c r="F130" t="s">
        <v>11</v>
      </c>
      <c r="G130" t="s">
        <v>9</v>
      </c>
    </row>
    <row r="131" spans="1:7" x14ac:dyDescent="0.35">
      <c r="A131" s="2">
        <v>0.29166666666666669</v>
      </c>
      <c r="B131">
        <v>18</v>
      </c>
      <c r="C131">
        <v>0</v>
      </c>
      <c r="D131">
        <v>18</v>
      </c>
      <c r="E131" t="s">
        <v>5</v>
      </c>
      <c r="F131" t="s">
        <v>11</v>
      </c>
      <c r="G131" t="s">
        <v>10</v>
      </c>
    </row>
    <row r="132" spans="1:7" x14ac:dyDescent="0.35">
      <c r="A132" s="1">
        <v>0.3125</v>
      </c>
      <c r="B132">
        <v>23</v>
      </c>
      <c r="C132">
        <v>6</v>
      </c>
      <c r="D132">
        <v>35</v>
      </c>
      <c r="E132" t="s">
        <v>5</v>
      </c>
      <c r="F132" t="s">
        <v>11</v>
      </c>
      <c r="G132" t="s">
        <v>10</v>
      </c>
    </row>
    <row r="133" spans="1:7" x14ac:dyDescent="0.35">
      <c r="A133" s="1">
        <v>0.33333333333333331</v>
      </c>
      <c r="B133">
        <v>5</v>
      </c>
      <c r="C133">
        <v>8</v>
      </c>
      <c r="D133">
        <v>32</v>
      </c>
      <c r="E133" t="s">
        <v>5</v>
      </c>
      <c r="F133" t="s">
        <v>11</v>
      </c>
      <c r="G133" t="s">
        <v>10</v>
      </c>
    </row>
    <row r="134" spans="1:7" x14ac:dyDescent="0.35">
      <c r="A134" s="1">
        <v>0.35416666666666669</v>
      </c>
      <c r="B134">
        <v>9</v>
      </c>
      <c r="C134">
        <v>4</v>
      </c>
      <c r="D134">
        <v>37</v>
      </c>
      <c r="E134" t="s">
        <v>5</v>
      </c>
      <c r="F134" t="s">
        <v>11</v>
      </c>
      <c r="G134" t="s">
        <v>10</v>
      </c>
    </row>
    <row r="135" spans="1:7" x14ac:dyDescent="0.35">
      <c r="A135" s="1">
        <v>0.375</v>
      </c>
      <c r="B135">
        <v>29</v>
      </c>
      <c r="C135">
        <v>5</v>
      </c>
      <c r="D135">
        <v>61</v>
      </c>
      <c r="E135" t="s">
        <v>5</v>
      </c>
      <c r="F135" t="s">
        <v>11</v>
      </c>
      <c r="G135" t="s">
        <v>10</v>
      </c>
    </row>
    <row r="136" spans="1:7" x14ac:dyDescent="0.35">
      <c r="A136" s="1">
        <v>0.39583333333333331</v>
      </c>
      <c r="B136">
        <v>5</v>
      </c>
      <c r="C136">
        <v>4</v>
      </c>
      <c r="D136">
        <v>62</v>
      </c>
      <c r="E136" t="s">
        <v>5</v>
      </c>
      <c r="F136" t="s">
        <v>11</v>
      </c>
      <c r="G136" t="s">
        <v>10</v>
      </c>
    </row>
    <row r="137" spans="1:7" x14ac:dyDescent="0.35">
      <c r="A137" s="1">
        <v>0.41666666666666669</v>
      </c>
      <c r="B137">
        <v>20</v>
      </c>
      <c r="C137">
        <v>7</v>
      </c>
      <c r="D137">
        <v>75</v>
      </c>
      <c r="E137" t="s">
        <v>5</v>
      </c>
      <c r="F137" t="s">
        <v>11</v>
      </c>
      <c r="G137" t="s">
        <v>10</v>
      </c>
    </row>
    <row r="138" spans="1:7" x14ac:dyDescent="0.35">
      <c r="A138" s="1">
        <v>0.4375</v>
      </c>
      <c r="B138">
        <v>7</v>
      </c>
      <c r="C138">
        <v>12</v>
      </c>
      <c r="D138">
        <v>70</v>
      </c>
      <c r="E138" t="s">
        <v>5</v>
      </c>
      <c r="F138" t="s">
        <v>11</v>
      </c>
      <c r="G138" t="s">
        <v>10</v>
      </c>
    </row>
    <row r="139" spans="1:7" x14ac:dyDescent="0.35">
      <c r="A139" s="1">
        <v>0.45833333333333331</v>
      </c>
      <c r="B139">
        <v>7</v>
      </c>
      <c r="C139">
        <v>19</v>
      </c>
      <c r="D139">
        <v>58</v>
      </c>
      <c r="E139" t="s">
        <v>5</v>
      </c>
      <c r="F139" t="s">
        <v>11</v>
      </c>
      <c r="G139" t="s">
        <v>10</v>
      </c>
    </row>
    <row r="140" spans="1:7" x14ac:dyDescent="0.35">
      <c r="A140" s="1">
        <v>0.47916666666666669</v>
      </c>
      <c r="B140">
        <v>21</v>
      </c>
      <c r="C140">
        <v>3</v>
      </c>
      <c r="D140">
        <v>76</v>
      </c>
      <c r="E140" t="s">
        <v>5</v>
      </c>
      <c r="F140" t="s">
        <v>11</v>
      </c>
      <c r="G140" t="s">
        <v>10</v>
      </c>
    </row>
    <row r="141" spans="1:7" x14ac:dyDescent="0.35">
      <c r="A141" s="1">
        <v>0.5</v>
      </c>
      <c r="B141">
        <v>31</v>
      </c>
      <c r="C141">
        <v>15</v>
      </c>
      <c r="D141">
        <v>92</v>
      </c>
      <c r="E141" t="s">
        <v>5</v>
      </c>
      <c r="F141" t="s">
        <v>11</v>
      </c>
      <c r="G141" t="s">
        <v>10</v>
      </c>
    </row>
    <row r="142" spans="1:7" x14ac:dyDescent="0.35">
      <c r="A142" s="1">
        <v>0.52083333333333337</v>
      </c>
      <c r="B142">
        <v>18</v>
      </c>
      <c r="C142">
        <v>44</v>
      </c>
      <c r="D142">
        <v>66</v>
      </c>
      <c r="E142" t="s">
        <v>5</v>
      </c>
      <c r="F142" t="s">
        <v>11</v>
      </c>
      <c r="G142" t="s">
        <v>10</v>
      </c>
    </row>
    <row r="143" spans="1:7" x14ac:dyDescent="0.35">
      <c r="A143" s="1">
        <v>0.54166666666666663</v>
      </c>
      <c r="B143">
        <v>5</v>
      </c>
      <c r="C143">
        <v>22</v>
      </c>
      <c r="D143">
        <v>49</v>
      </c>
      <c r="E143" t="s">
        <v>5</v>
      </c>
      <c r="F143" t="s">
        <v>11</v>
      </c>
      <c r="G143" t="s">
        <v>10</v>
      </c>
    </row>
    <row r="144" spans="1:7" x14ac:dyDescent="0.35">
      <c r="A144" s="1">
        <v>0.5625</v>
      </c>
      <c r="B144">
        <v>9</v>
      </c>
      <c r="C144">
        <v>17</v>
      </c>
      <c r="D144">
        <v>41</v>
      </c>
      <c r="E144" t="s">
        <v>5</v>
      </c>
      <c r="F144" t="s">
        <v>11</v>
      </c>
      <c r="G144" t="s">
        <v>10</v>
      </c>
    </row>
    <row r="145" spans="1:7" x14ac:dyDescent="0.35">
      <c r="A145" s="1">
        <v>0.58333333333333337</v>
      </c>
      <c r="B145">
        <v>8</v>
      </c>
      <c r="C145">
        <v>4</v>
      </c>
      <c r="D145">
        <v>45</v>
      </c>
      <c r="E145" t="s">
        <v>5</v>
      </c>
      <c r="F145" t="s">
        <v>11</v>
      </c>
      <c r="G145" t="s">
        <v>10</v>
      </c>
    </row>
    <row r="146" spans="1:7" x14ac:dyDescent="0.35">
      <c r="A146" s="1">
        <v>0.60416666666666663</v>
      </c>
      <c r="B146">
        <v>20</v>
      </c>
      <c r="C146">
        <v>10</v>
      </c>
      <c r="D146">
        <v>55</v>
      </c>
      <c r="E146" t="s">
        <v>5</v>
      </c>
      <c r="F146" t="s">
        <v>11</v>
      </c>
      <c r="G146" t="s">
        <v>10</v>
      </c>
    </row>
    <row r="147" spans="1:7" x14ac:dyDescent="0.35">
      <c r="A147" s="1">
        <v>0.625</v>
      </c>
      <c r="B147">
        <v>29</v>
      </c>
      <c r="C147">
        <v>13</v>
      </c>
      <c r="D147">
        <v>71</v>
      </c>
      <c r="E147" t="s">
        <v>5</v>
      </c>
      <c r="F147" t="s">
        <v>11</v>
      </c>
      <c r="G147" t="s">
        <v>10</v>
      </c>
    </row>
    <row r="148" spans="1:7" x14ac:dyDescent="0.35">
      <c r="A148" s="1">
        <v>0.64583333333333337</v>
      </c>
      <c r="B148">
        <v>15</v>
      </c>
      <c r="C148">
        <v>17</v>
      </c>
      <c r="D148">
        <v>69</v>
      </c>
      <c r="E148" t="s">
        <v>5</v>
      </c>
      <c r="F148" t="s">
        <v>11</v>
      </c>
      <c r="G148" t="s">
        <v>10</v>
      </c>
    </row>
    <row r="149" spans="1:7" x14ac:dyDescent="0.35">
      <c r="A149" s="1">
        <v>0.66666666666666663</v>
      </c>
      <c r="B149">
        <v>96</v>
      </c>
      <c r="C149">
        <v>32</v>
      </c>
      <c r="D149">
        <v>133</v>
      </c>
      <c r="E149" t="s">
        <v>5</v>
      </c>
      <c r="F149" t="s">
        <v>11</v>
      </c>
      <c r="G149" t="s">
        <v>10</v>
      </c>
    </row>
    <row r="150" spans="1:7" x14ac:dyDescent="0.35">
      <c r="A150" s="1">
        <v>0.6875</v>
      </c>
      <c r="B150">
        <v>100</v>
      </c>
      <c r="C150">
        <v>26</v>
      </c>
      <c r="D150">
        <v>207</v>
      </c>
      <c r="E150" t="s">
        <v>5</v>
      </c>
      <c r="F150" t="s">
        <v>11</v>
      </c>
      <c r="G150" t="s">
        <v>10</v>
      </c>
    </row>
    <row r="151" spans="1:7" x14ac:dyDescent="0.35">
      <c r="A151" s="1">
        <v>0.70833333333333337</v>
      </c>
      <c r="B151">
        <v>93</v>
      </c>
      <c r="C151">
        <v>39</v>
      </c>
      <c r="D151">
        <v>261</v>
      </c>
      <c r="E151" t="s">
        <v>5</v>
      </c>
      <c r="F151" t="s">
        <v>11</v>
      </c>
      <c r="G151" t="s">
        <v>10</v>
      </c>
    </row>
    <row r="152" spans="1:7" x14ac:dyDescent="0.35">
      <c r="A152" s="1">
        <v>0.72916666666666663</v>
      </c>
      <c r="B152">
        <v>46</v>
      </c>
      <c r="C152">
        <v>66</v>
      </c>
      <c r="D152">
        <v>241</v>
      </c>
      <c r="E152" t="s">
        <v>5</v>
      </c>
      <c r="F152" t="s">
        <v>11</v>
      </c>
      <c r="G152" t="s">
        <v>10</v>
      </c>
    </row>
    <row r="153" spans="1:7" x14ac:dyDescent="0.35">
      <c r="A153" s="1">
        <v>0.75</v>
      </c>
      <c r="B153">
        <v>89</v>
      </c>
      <c r="C153">
        <v>48</v>
      </c>
      <c r="D153">
        <v>282</v>
      </c>
      <c r="E153" t="s">
        <v>5</v>
      </c>
      <c r="F153" t="s">
        <v>11</v>
      </c>
      <c r="G153" t="s">
        <v>10</v>
      </c>
    </row>
    <row r="154" spans="1:7" x14ac:dyDescent="0.35">
      <c r="A154" s="1">
        <v>0.77083333333333337</v>
      </c>
      <c r="B154">
        <v>48</v>
      </c>
      <c r="C154">
        <v>26</v>
      </c>
      <c r="D154">
        <v>304</v>
      </c>
      <c r="E154" t="s">
        <v>5</v>
      </c>
      <c r="F154" t="s">
        <v>11</v>
      </c>
      <c r="G154" t="s">
        <v>10</v>
      </c>
    </row>
    <row r="155" spans="1:7" x14ac:dyDescent="0.35">
      <c r="A155" s="1">
        <v>0.79166666666666663</v>
      </c>
      <c r="B155">
        <v>94</v>
      </c>
      <c r="C155">
        <v>29</v>
      </c>
      <c r="D155">
        <v>369</v>
      </c>
      <c r="E155" t="s">
        <v>5</v>
      </c>
      <c r="F155" t="s">
        <v>11</v>
      </c>
      <c r="G155" t="s">
        <v>10</v>
      </c>
    </row>
    <row r="156" spans="1:7" x14ac:dyDescent="0.35">
      <c r="A156" s="1">
        <v>0.8125</v>
      </c>
      <c r="B156">
        <v>130</v>
      </c>
      <c r="C156">
        <v>114</v>
      </c>
      <c r="D156">
        <v>385</v>
      </c>
      <c r="E156" t="s">
        <v>5</v>
      </c>
      <c r="F156" t="s">
        <v>11</v>
      </c>
      <c r="G156" t="s">
        <v>10</v>
      </c>
    </row>
    <row r="157" spans="1:7" x14ac:dyDescent="0.35">
      <c r="A157" s="1">
        <v>0.83333333333333337</v>
      </c>
      <c r="B157">
        <v>112</v>
      </c>
      <c r="C157">
        <v>74</v>
      </c>
      <c r="D157">
        <v>423</v>
      </c>
      <c r="E157" t="s">
        <v>5</v>
      </c>
      <c r="F157" t="s">
        <v>11</v>
      </c>
      <c r="G157" t="s">
        <v>10</v>
      </c>
    </row>
    <row r="158" spans="1:7" x14ac:dyDescent="0.35">
      <c r="A158" s="1">
        <v>0.85416666666666696</v>
      </c>
      <c r="B158">
        <v>162</v>
      </c>
      <c r="C158">
        <v>44</v>
      </c>
      <c r="D158">
        <v>541</v>
      </c>
      <c r="E158" t="s">
        <v>5</v>
      </c>
      <c r="F158" t="s">
        <v>11</v>
      </c>
      <c r="G158" t="s">
        <v>10</v>
      </c>
    </row>
    <row r="159" spans="1:7" x14ac:dyDescent="0.35">
      <c r="A159" s="1">
        <v>0.875</v>
      </c>
      <c r="B159">
        <v>96</v>
      </c>
      <c r="C159">
        <v>32</v>
      </c>
      <c r="D159">
        <v>605</v>
      </c>
      <c r="E159" t="s">
        <v>5</v>
      </c>
      <c r="F159" t="s">
        <v>11</v>
      </c>
      <c r="G159" t="s">
        <v>10</v>
      </c>
    </row>
    <row r="160" spans="1:7" x14ac:dyDescent="0.35">
      <c r="A160" s="1">
        <v>0.89583333333333304</v>
      </c>
      <c r="B160">
        <v>168</v>
      </c>
      <c r="C160">
        <v>112</v>
      </c>
      <c r="D160">
        <v>661</v>
      </c>
      <c r="E160" t="s">
        <v>5</v>
      </c>
      <c r="F160" t="s">
        <v>11</v>
      </c>
      <c r="G160" t="s">
        <v>10</v>
      </c>
    </row>
    <row r="161" spans="1:7" x14ac:dyDescent="0.35">
      <c r="A161" s="1">
        <v>0.91666666666666696</v>
      </c>
      <c r="B161">
        <v>133</v>
      </c>
      <c r="C161">
        <v>68</v>
      </c>
      <c r="D161">
        <v>726</v>
      </c>
      <c r="E161" t="s">
        <v>5</v>
      </c>
      <c r="F161" t="s">
        <v>11</v>
      </c>
      <c r="G161" t="s">
        <v>10</v>
      </c>
    </row>
    <row r="162" spans="1:7" x14ac:dyDescent="0.35">
      <c r="A162" s="1">
        <v>0.9375</v>
      </c>
      <c r="B162">
        <v>180</v>
      </c>
      <c r="C162">
        <v>78</v>
      </c>
      <c r="D162">
        <v>828</v>
      </c>
      <c r="E162" t="s">
        <v>5</v>
      </c>
      <c r="F162" t="s">
        <v>11</v>
      </c>
      <c r="G162" t="s">
        <v>10</v>
      </c>
    </row>
    <row r="163" spans="1:7" x14ac:dyDescent="0.35">
      <c r="A163" s="1">
        <v>0.95833333333333404</v>
      </c>
      <c r="B163">
        <v>139</v>
      </c>
      <c r="C163">
        <v>164</v>
      </c>
      <c r="D163">
        <v>803</v>
      </c>
      <c r="E163" t="s">
        <v>5</v>
      </c>
      <c r="F163" t="s">
        <v>11</v>
      </c>
      <c r="G163" t="s">
        <v>10</v>
      </c>
    </row>
    <row r="164" spans="1:7" x14ac:dyDescent="0.35">
      <c r="A164" s="1">
        <v>0.97916666666666696</v>
      </c>
      <c r="B164">
        <v>148</v>
      </c>
      <c r="C164">
        <v>178</v>
      </c>
      <c r="D164">
        <v>773</v>
      </c>
      <c r="E164" t="s">
        <v>5</v>
      </c>
      <c r="F164" t="s">
        <v>11</v>
      </c>
      <c r="G164" t="s">
        <v>10</v>
      </c>
    </row>
    <row r="165" spans="1:7" x14ac:dyDescent="0.35">
      <c r="A165" s="1">
        <v>1</v>
      </c>
      <c r="B165">
        <v>102</v>
      </c>
      <c r="C165">
        <v>155</v>
      </c>
      <c r="D165">
        <v>720</v>
      </c>
      <c r="E165" t="s">
        <v>5</v>
      </c>
      <c r="F165" t="s">
        <v>11</v>
      </c>
      <c r="G165" t="s">
        <v>10</v>
      </c>
    </row>
    <row r="166" spans="1:7" x14ac:dyDescent="0.35">
      <c r="A166" s="1">
        <v>1.0208333333333399</v>
      </c>
      <c r="B166">
        <v>22</v>
      </c>
      <c r="C166">
        <v>158</v>
      </c>
      <c r="D166">
        <v>584</v>
      </c>
      <c r="E166" t="s">
        <v>5</v>
      </c>
      <c r="F166" t="s">
        <v>11</v>
      </c>
      <c r="G166" t="s">
        <v>10</v>
      </c>
    </row>
    <row r="167" spans="1:7" x14ac:dyDescent="0.35">
      <c r="A167" s="1">
        <v>1.0416666666666701</v>
      </c>
      <c r="B167">
        <v>0</v>
      </c>
      <c r="C167">
        <v>210</v>
      </c>
      <c r="D167">
        <v>374</v>
      </c>
      <c r="E167" t="s">
        <v>5</v>
      </c>
      <c r="F167" t="s">
        <v>11</v>
      </c>
      <c r="G167" t="s">
        <v>10</v>
      </c>
    </row>
    <row r="168" spans="1:7" x14ac:dyDescent="0.35">
      <c r="A168" s="1">
        <v>1.0625</v>
      </c>
      <c r="B168">
        <v>0</v>
      </c>
      <c r="C168">
        <v>374</v>
      </c>
      <c r="D168">
        <v>0</v>
      </c>
      <c r="E168" t="s">
        <v>5</v>
      </c>
      <c r="F168" t="s">
        <v>11</v>
      </c>
      <c r="G168" t="s">
        <v>10</v>
      </c>
    </row>
    <row r="169" spans="1:7" x14ac:dyDescent="0.35">
      <c r="A169" s="1">
        <v>1.0833333333333399</v>
      </c>
      <c r="B169">
        <v>0</v>
      </c>
      <c r="C169">
        <v>0</v>
      </c>
      <c r="D169">
        <v>0</v>
      </c>
      <c r="E169" t="s">
        <v>5</v>
      </c>
      <c r="F169" t="s">
        <v>11</v>
      </c>
      <c r="G169" t="s">
        <v>10</v>
      </c>
    </row>
    <row r="170" spans="1:7" x14ac:dyDescent="0.35">
      <c r="A170" s="1">
        <v>1.1041666666666701</v>
      </c>
      <c r="B170">
        <v>0</v>
      </c>
      <c r="C170">
        <v>0</v>
      </c>
      <c r="D170">
        <v>0</v>
      </c>
      <c r="E170" t="s">
        <v>5</v>
      </c>
      <c r="F170" t="s">
        <v>11</v>
      </c>
      <c r="G170" t="s">
        <v>10</v>
      </c>
    </row>
    <row r="171" spans="1:7" x14ac:dyDescent="0.35">
      <c r="A171" s="1">
        <v>1.12500000000001</v>
      </c>
      <c r="B171">
        <v>0</v>
      </c>
      <c r="C171">
        <v>0</v>
      </c>
      <c r="D171">
        <v>0</v>
      </c>
      <c r="E171" t="s">
        <v>5</v>
      </c>
      <c r="F171" t="s">
        <v>11</v>
      </c>
      <c r="G171" t="s">
        <v>10</v>
      </c>
    </row>
    <row r="172" spans="1:7" x14ac:dyDescent="0.35">
      <c r="A172" s="1">
        <v>1.1458333333333399</v>
      </c>
      <c r="B172">
        <v>0</v>
      </c>
      <c r="C172">
        <v>0</v>
      </c>
      <c r="D172">
        <v>0</v>
      </c>
      <c r="E172" t="s">
        <v>5</v>
      </c>
      <c r="F172" t="s">
        <v>11</v>
      </c>
      <c r="G172" t="s">
        <v>10</v>
      </c>
    </row>
    <row r="173" spans="1:7" x14ac:dyDescent="0.35">
      <c r="A173" s="1">
        <v>1.1666666666666701</v>
      </c>
      <c r="B173">
        <v>0</v>
      </c>
      <c r="C173">
        <v>0</v>
      </c>
      <c r="D173">
        <v>0</v>
      </c>
      <c r="E173" t="s">
        <v>5</v>
      </c>
      <c r="F173" t="s">
        <v>11</v>
      </c>
      <c r="G173" t="s">
        <v>10</v>
      </c>
    </row>
    <row r="174" spans="1:7" x14ac:dyDescent="0.35">
      <c r="A174" s="2">
        <v>0.29166666666666669</v>
      </c>
      <c r="B174">
        <v>189</v>
      </c>
      <c r="C174">
        <v>0</v>
      </c>
      <c r="D174">
        <v>189</v>
      </c>
      <c r="E174" t="s">
        <v>5</v>
      </c>
      <c r="F174" t="s">
        <v>12</v>
      </c>
      <c r="G174" t="s">
        <v>9</v>
      </c>
    </row>
    <row r="175" spans="1:7" x14ac:dyDescent="0.35">
      <c r="A175" s="1">
        <v>0.3125</v>
      </c>
      <c r="B175">
        <v>113</v>
      </c>
      <c r="C175">
        <v>1</v>
      </c>
      <c r="D175">
        <v>301</v>
      </c>
      <c r="E175" t="s">
        <v>5</v>
      </c>
      <c r="F175" t="s">
        <v>12</v>
      </c>
      <c r="G175" t="s">
        <v>9</v>
      </c>
    </row>
    <row r="176" spans="1:7" x14ac:dyDescent="0.35">
      <c r="A176" s="1">
        <v>0.33333333333333331</v>
      </c>
      <c r="B176">
        <v>97</v>
      </c>
      <c r="C176">
        <v>26</v>
      </c>
      <c r="D176">
        <v>372</v>
      </c>
      <c r="E176" t="s">
        <v>5</v>
      </c>
      <c r="F176" t="s">
        <v>12</v>
      </c>
      <c r="G176" t="s">
        <v>9</v>
      </c>
    </row>
    <row r="177" spans="1:7" x14ac:dyDescent="0.35">
      <c r="A177" s="1">
        <v>0.35416666666666669</v>
      </c>
      <c r="B177">
        <v>107</v>
      </c>
      <c r="C177">
        <v>39</v>
      </c>
      <c r="D177">
        <v>440</v>
      </c>
      <c r="E177" t="s">
        <v>5</v>
      </c>
      <c r="F177" t="s">
        <v>12</v>
      </c>
      <c r="G177" t="s">
        <v>9</v>
      </c>
    </row>
    <row r="178" spans="1:7" x14ac:dyDescent="0.35">
      <c r="A178" s="1">
        <v>0.375</v>
      </c>
      <c r="B178">
        <v>92</v>
      </c>
      <c r="C178">
        <v>63</v>
      </c>
      <c r="D178">
        <v>469</v>
      </c>
      <c r="E178" t="s">
        <v>5</v>
      </c>
      <c r="F178" t="s">
        <v>12</v>
      </c>
      <c r="G178" t="s">
        <v>9</v>
      </c>
    </row>
    <row r="179" spans="1:7" x14ac:dyDescent="0.35">
      <c r="A179" s="1">
        <v>0.39583333333333331</v>
      </c>
      <c r="B179">
        <v>146</v>
      </c>
      <c r="C179">
        <v>68</v>
      </c>
      <c r="D179">
        <v>547</v>
      </c>
      <c r="E179" t="s">
        <v>5</v>
      </c>
      <c r="F179" t="s">
        <v>12</v>
      </c>
      <c r="G179" t="s">
        <v>9</v>
      </c>
    </row>
    <row r="180" spans="1:7" x14ac:dyDescent="0.35">
      <c r="A180" s="1">
        <v>0.41666666666666669</v>
      </c>
      <c r="B180">
        <v>144</v>
      </c>
      <c r="C180">
        <v>73</v>
      </c>
      <c r="D180">
        <v>618</v>
      </c>
      <c r="E180" t="s">
        <v>5</v>
      </c>
      <c r="F180" t="s">
        <v>12</v>
      </c>
      <c r="G180" t="s">
        <v>9</v>
      </c>
    </row>
    <row r="181" spans="1:7" x14ac:dyDescent="0.35">
      <c r="A181" s="1">
        <v>0.4375</v>
      </c>
      <c r="B181">
        <v>111</v>
      </c>
      <c r="C181">
        <v>95</v>
      </c>
      <c r="D181">
        <v>634</v>
      </c>
      <c r="E181" t="s">
        <v>5</v>
      </c>
      <c r="F181" t="s">
        <v>12</v>
      </c>
      <c r="G181" t="s">
        <v>9</v>
      </c>
    </row>
    <row r="182" spans="1:7" x14ac:dyDescent="0.35">
      <c r="A182" s="1">
        <v>0.45833333333333331</v>
      </c>
      <c r="B182">
        <v>112</v>
      </c>
      <c r="C182">
        <v>133</v>
      </c>
      <c r="D182">
        <v>613</v>
      </c>
      <c r="E182" t="s">
        <v>5</v>
      </c>
      <c r="F182" t="s">
        <v>12</v>
      </c>
      <c r="G182" t="s">
        <v>9</v>
      </c>
    </row>
    <row r="183" spans="1:7" x14ac:dyDescent="0.35">
      <c r="A183" s="1">
        <v>0.47916666666666669</v>
      </c>
      <c r="B183">
        <v>95</v>
      </c>
      <c r="C183">
        <v>126</v>
      </c>
      <c r="D183">
        <v>582</v>
      </c>
      <c r="E183" t="s">
        <v>5</v>
      </c>
      <c r="F183" t="s">
        <v>12</v>
      </c>
      <c r="G183" t="s">
        <v>9</v>
      </c>
    </row>
    <row r="184" spans="1:7" x14ac:dyDescent="0.35">
      <c r="A184" s="1">
        <v>0.5</v>
      </c>
      <c r="B184">
        <v>127</v>
      </c>
      <c r="C184">
        <v>104</v>
      </c>
      <c r="D184">
        <v>605</v>
      </c>
      <c r="E184" t="s">
        <v>5</v>
      </c>
      <c r="F184" t="s">
        <v>12</v>
      </c>
      <c r="G184" t="s">
        <v>9</v>
      </c>
    </row>
    <row r="185" spans="1:7" x14ac:dyDescent="0.35">
      <c r="A185" s="1">
        <v>0.52083333333333337</v>
      </c>
      <c r="B185">
        <v>121</v>
      </c>
      <c r="C185">
        <v>127</v>
      </c>
      <c r="D185">
        <v>599</v>
      </c>
      <c r="E185" t="s">
        <v>5</v>
      </c>
      <c r="F185" t="s">
        <v>12</v>
      </c>
      <c r="G185" t="s">
        <v>9</v>
      </c>
    </row>
    <row r="186" spans="1:7" x14ac:dyDescent="0.35">
      <c r="A186" s="1">
        <v>0.54166666666666663</v>
      </c>
      <c r="B186">
        <v>117</v>
      </c>
      <c r="C186">
        <v>93</v>
      </c>
      <c r="D186">
        <v>623</v>
      </c>
      <c r="E186" t="s">
        <v>5</v>
      </c>
      <c r="F186" t="s">
        <v>12</v>
      </c>
      <c r="G186" t="s">
        <v>9</v>
      </c>
    </row>
    <row r="187" spans="1:7" x14ac:dyDescent="0.35">
      <c r="A187" s="1">
        <v>0.5625</v>
      </c>
      <c r="B187">
        <v>134</v>
      </c>
      <c r="C187">
        <v>111</v>
      </c>
      <c r="D187">
        <v>646</v>
      </c>
      <c r="E187" t="s">
        <v>5</v>
      </c>
      <c r="F187" t="s">
        <v>12</v>
      </c>
      <c r="G187" t="s">
        <v>9</v>
      </c>
    </row>
    <row r="188" spans="1:7" x14ac:dyDescent="0.35">
      <c r="A188" s="1">
        <v>0.58333333333333337</v>
      </c>
      <c r="B188">
        <v>136</v>
      </c>
      <c r="C188">
        <v>154</v>
      </c>
      <c r="D188">
        <v>628</v>
      </c>
      <c r="E188" t="s">
        <v>5</v>
      </c>
      <c r="F188" t="s">
        <v>12</v>
      </c>
      <c r="G188" t="s">
        <v>9</v>
      </c>
    </row>
    <row r="189" spans="1:7" x14ac:dyDescent="0.35">
      <c r="A189" s="1">
        <v>0.60416666666666663</v>
      </c>
      <c r="B189">
        <v>172</v>
      </c>
      <c r="C189">
        <v>215</v>
      </c>
      <c r="D189">
        <v>585</v>
      </c>
      <c r="E189" t="s">
        <v>5</v>
      </c>
      <c r="F189" t="s">
        <v>12</v>
      </c>
      <c r="G189" t="s">
        <v>9</v>
      </c>
    </row>
    <row r="190" spans="1:7" x14ac:dyDescent="0.35">
      <c r="A190" s="1">
        <v>0.625</v>
      </c>
      <c r="B190">
        <v>143</v>
      </c>
      <c r="C190">
        <v>128</v>
      </c>
      <c r="D190">
        <v>600</v>
      </c>
      <c r="E190" t="s">
        <v>5</v>
      </c>
      <c r="F190" t="s">
        <v>12</v>
      </c>
      <c r="G190" t="s">
        <v>9</v>
      </c>
    </row>
    <row r="191" spans="1:7" x14ac:dyDescent="0.35">
      <c r="A191" s="1">
        <v>0.64583333333333337</v>
      </c>
      <c r="B191">
        <v>134</v>
      </c>
      <c r="C191">
        <v>169</v>
      </c>
      <c r="D191">
        <v>565</v>
      </c>
      <c r="E191" t="s">
        <v>5</v>
      </c>
      <c r="F191" t="s">
        <v>12</v>
      </c>
      <c r="G191" t="s">
        <v>9</v>
      </c>
    </row>
    <row r="192" spans="1:7" x14ac:dyDescent="0.35">
      <c r="A192" s="1">
        <v>0.66666666666666663</v>
      </c>
      <c r="B192">
        <v>174</v>
      </c>
      <c r="C192">
        <v>149</v>
      </c>
      <c r="D192">
        <v>590</v>
      </c>
      <c r="E192" t="s">
        <v>5</v>
      </c>
      <c r="F192" t="s">
        <v>12</v>
      </c>
      <c r="G192" t="s">
        <v>9</v>
      </c>
    </row>
    <row r="193" spans="1:7" x14ac:dyDescent="0.35">
      <c r="A193" s="1">
        <v>0.6875</v>
      </c>
      <c r="B193">
        <v>142</v>
      </c>
      <c r="C193">
        <v>164</v>
      </c>
      <c r="D193">
        <v>568</v>
      </c>
      <c r="E193" t="s">
        <v>5</v>
      </c>
      <c r="F193" t="s">
        <v>12</v>
      </c>
      <c r="G193" t="s">
        <v>9</v>
      </c>
    </row>
    <row r="194" spans="1:7" x14ac:dyDescent="0.35">
      <c r="A194" s="1">
        <v>0.70833333333333337</v>
      </c>
      <c r="B194">
        <v>203</v>
      </c>
      <c r="C194">
        <v>172</v>
      </c>
      <c r="D194">
        <v>599</v>
      </c>
      <c r="E194" t="s">
        <v>5</v>
      </c>
      <c r="F194" t="s">
        <v>12</v>
      </c>
      <c r="G194" t="s">
        <v>9</v>
      </c>
    </row>
    <row r="195" spans="1:7" x14ac:dyDescent="0.35">
      <c r="A195" s="1">
        <v>0.72916666666666663</v>
      </c>
      <c r="B195">
        <v>133</v>
      </c>
      <c r="C195">
        <v>179</v>
      </c>
      <c r="D195">
        <v>553</v>
      </c>
      <c r="E195" t="s">
        <v>5</v>
      </c>
      <c r="F195" t="s">
        <v>12</v>
      </c>
      <c r="G195" t="s">
        <v>9</v>
      </c>
    </row>
    <row r="196" spans="1:7" x14ac:dyDescent="0.35">
      <c r="A196" s="1">
        <v>0.75</v>
      </c>
      <c r="B196">
        <v>144</v>
      </c>
      <c r="C196">
        <v>185</v>
      </c>
      <c r="D196">
        <v>512</v>
      </c>
      <c r="E196" t="s">
        <v>5</v>
      </c>
      <c r="F196" t="s">
        <v>12</v>
      </c>
      <c r="G196" t="s">
        <v>9</v>
      </c>
    </row>
    <row r="197" spans="1:7" x14ac:dyDescent="0.35">
      <c r="A197" s="1">
        <v>0.77083333333333337</v>
      </c>
      <c r="B197">
        <v>172</v>
      </c>
      <c r="C197">
        <v>145</v>
      </c>
      <c r="D197">
        <v>539</v>
      </c>
      <c r="E197" t="s">
        <v>5</v>
      </c>
      <c r="F197" t="s">
        <v>12</v>
      </c>
      <c r="G197" t="s">
        <v>9</v>
      </c>
    </row>
    <row r="198" spans="1:7" x14ac:dyDescent="0.35">
      <c r="A198" s="1">
        <v>0.79166666666666663</v>
      </c>
      <c r="B198">
        <v>120</v>
      </c>
      <c r="C198">
        <v>143</v>
      </c>
      <c r="D198">
        <v>516</v>
      </c>
      <c r="E198" t="s">
        <v>5</v>
      </c>
      <c r="F198" t="s">
        <v>12</v>
      </c>
      <c r="G198" t="s">
        <v>9</v>
      </c>
    </row>
    <row r="199" spans="1:7" x14ac:dyDescent="0.35">
      <c r="A199" s="1">
        <v>0.8125</v>
      </c>
      <c r="B199">
        <v>118</v>
      </c>
      <c r="C199">
        <v>173</v>
      </c>
      <c r="D199">
        <v>461</v>
      </c>
      <c r="E199" t="s">
        <v>5</v>
      </c>
      <c r="F199" t="s">
        <v>12</v>
      </c>
      <c r="G199" t="s">
        <v>9</v>
      </c>
    </row>
    <row r="200" spans="1:7" x14ac:dyDescent="0.35">
      <c r="A200" s="1">
        <v>0.83333333333333337</v>
      </c>
      <c r="B200">
        <v>168</v>
      </c>
      <c r="C200">
        <v>117</v>
      </c>
      <c r="D200">
        <v>512</v>
      </c>
      <c r="E200" t="s">
        <v>5</v>
      </c>
      <c r="F200" t="s">
        <v>12</v>
      </c>
      <c r="G200" t="s">
        <v>9</v>
      </c>
    </row>
    <row r="201" spans="1:7" x14ac:dyDescent="0.35">
      <c r="A201" s="1">
        <v>0.85416666666666696</v>
      </c>
      <c r="B201">
        <v>149</v>
      </c>
      <c r="C201">
        <v>166</v>
      </c>
      <c r="D201">
        <v>495</v>
      </c>
      <c r="E201" t="s">
        <v>5</v>
      </c>
      <c r="F201" t="s">
        <v>12</v>
      </c>
      <c r="G201" t="s">
        <v>9</v>
      </c>
    </row>
    <row r="202" spans="1:7" x14ac:dyDescent="0.35">
      <c r="A202" s="1">
        <v>0.875</v>
      </c>
      <c r="B202">
        <v>118</v>
      </c>
      <c r="C202">
        <v>128</v>
      </c>
      <c r="D202">
        <v>485</v>
      </c>
      <c r="E202" t="s">
        <v>5</v>
      </c>
      <c r="F202" t="s">
        <v>12</v>
      </c>
      <c r="G202" t="s">
        <v>9</v>
      </c>
    </row>
    <row r="203" spans="1:7" x14ac:dyDescent="0.35">
      <c r="A203" s="1">
        <v>0.89583333333333304</v>
      </c>
      <c r="B203">
        <v>88</v>
      </c>
      <c r="C203">
        <v>108</v>
      </c>
      <c r="D203">
        <v>465</v>
      </c>
      <c r="E203" t="s">
        <v>5</v>
      </c>
      <c r="F203" t="s">
        <v>12</v>
      </c>
      <c r="G203" t="s">
        <v>9</v>
      </c>
    </row>
    <row r="204" spans="1:7" x14ac:dyDescent="0.35">
      <c r="A204" s="1">
        <v>0.91666666666666696</v>
      </c>
      <c r="B204">
        <v>72</v>
      </c>
      <c r="C204">
        <v>117</v>
      </c>
      <c r="D204">
        <v>420</v>
      </c>
      <c r="E204" t="s">
        <v>5</v>
      </c>
      <c r="F204" t="s">
        <v>12</v>
      </c>
      <c r="G204" t="s">
        <v>9</v>
      </c>
    </row>
    <row r="205" spans="1:7" x14ac:dyDescent="0.35">
      <c r="A205" s="1">
        <v>0.9375</v>
      </c>
      <c r="B205">
        <v>73</v>
      </c>
      <c r="C205">
        <v>142</v>
      </c>
      <c r="D205">
        <v>351</v>
      </c>
      <c r="E205" t="s">
        <v>5</v>
      </c>
      <c r="F205" t="s">
        <v>12</v>
      </c>
      <c r="G205" t="s">
        <v>9</v>
      </c>
    </row>
    <row r="206" spans="1:7" x14ac:dyDescent="0.35">
      <c r="A206" s="1">
        <v>0.95833333333333404</v>
      </c>
      <c r="B206">
        <v>76</v>
      </c>
      <c r="C206">
        <v>106</v>
      </c>
      <c r="D206">
        <v>321</v>
      </c>
      <c r="E206" t="s">
        <v>5</v>
      </c>
      <c r="F206" t="s">
        <v>12</v>
      </c>
      <c r="G206" t="s">
        <v>9</v>
      </c>
    </row>
    <row r="207" spans="1:7" x14ac:dyDescent="0.35">
      <c r="A207" s="1">
        <v>0.97916666666666696</v>
      </c>
      <c r="B207">
        <v>25</v>
      </c>
      <c r="C207">
        <v>96</v>
      </c>
      <c r="D207">
        <v>250</v>
      </c>
      <c r="E207" t="s">
        <v>5</v>
      </c>
      <c r="F207" t="s">
        <v>12</v>
      </c>
      <c r="G207" t="s">
        <v>9</v>
      </c>
    </row>
    <row r="208" spans="1:7" x14ac:dyDescent="0.35">
      <c r="A208" s="1">
        <v>1</v>
      </c>
      <c r="B208">
        <v>36</v>
      </c>
      <c r="C208">
        <v>100</v>
      </c>
      <c r="D208">
        <v>186</v>
      </c>
      <c r="E208" t="s">
        <v>5</v>
      </c>
      <c r="F208" t="s">
        <v>12</v>
      </c>
      <c r="G208" t="s">
        <v>9</v>
      </c>
    </row>
    <row r="209" spans="1:7" x14ac:dyDescent="0.35">
      <c r="A209" s="1">
        <v>1.0208333333333399</v>
      </c>
      <c r="B209">
        <v>0</v>
      </c>
      <c r="C209">
        <v>190</v>
      </c>
      <c r="D209">
        <v>-4</v>
      </c>
      <c r="E209" t="s">
        <v>5</v>
      </c>
      <c r="F209" t="s">
        <v>12</v>
      </c>
      <c r="G209" t="s">
        <v>9</v>
      </c>
    </row>
    <row r="210" spans="1:7" x14ac:dyDescent="0.35">
      <c r="A210" s="1">
        <v>1.0416666666666701</v>
      </c>
      <c r="B210">
        <v>0</v>
      </c>
      <c r="C210">
        <v>0</v>
      </c>
      <c r="D210">
        <v>-4</v>
      </c>
      <c r="E210" t="s">
        <v>5</v>
      </c>
      <c r="F210" t="s">
        <v>12</v>
      </c>
      <c r="G210" t="s">
        <v>9</v>
      </c>
    </row>
    <row r="211" spans="1:7" x14ac:dyDescent="0.35">
      <c r="A211" s="1">
        <v>1.0625</v>
      </c>
      <c r="B211">
        <v>0</v>
      </c>
      <c r="C211">
        <v>0</v>
      </c>
      <c r="D211">
        <v>-4</v>
      </c>
      <c r="E211" t="s">
        <v>5</v>
      </c>
      <c r="F211" t="s">
        <v>12</v>
      </c>
      <c r="G211" t="s">
        <v>9</v>
      </c>
    </row>
    <row r="212" spans="1:7" x14ac:dyDescent="0.35">
      <c r="A212" s="1">
        <v>1.0833333333333399</v>
      </c>
      <c r="B212">
        <v>0</v>
      </c>
      <c r="C212">
        <v>0</v>
      </c>
      <c r="D212">
        <v>-4</v>
      </c>
      <c r="E212" t="s">
        <v>5</v>
      </c>
      <c r="F212" t="s">
        <v>12</v>
      </c>
      <c r="G212" t="s">
        <v>9</v>
      </c>
    </row>
    <row r="213" spans="1:7" x14ac:dyDescent="0.35">
      <c r="A213" s="1">
        <v>1.1041666666666701</v>
      </c>
      <c r="B213">
        <v>0</v>
      </c>
      <c r="C213">
        <v>0</v>
      </c>
      <c r="D213">
        <v>-4</v>
      </c>
      <c r="E213" t="s">
        <v>5</v>
      </c>
      <c r="F213" t="s">
        <v>12</v>
      </c>
      <c r="G213" t="s">
        <v>9</v>
      </c>
    </row>
    <row r="214" spans="1:7" x14ac:dyDescent="0.35">
      <c r="A214" s="1">
        <v>1.12500000000001</v>
      </c>
      <c r="B214">
        <v>0</v>
      </c>
      <c r="C214">
        <v>0</v>
      </c>
      <c r="D214">
        <v>-4</v>
      </c>
      <c r="E214" t="s">
        <v>5</v>
      </c>
      <c r="F214" t="s">
        <v>12</v>
      </c>
      <c r="G214" t="s">
        <v>9</v>
      </c>
    </row>
    <row r="215" spans="1:7" x14ac:dyDescent="0.35">
      <c r="A215" s="1">
        <v>1.1458333333333399</v>
      </c>
      <c r="B215">
        <v>0</v>
      </c>
      <c r="C215">
        <v>0</v>
      </c>
      <c r="D215">
        <v>-4</v>
      </c>
      <c r="E215" t="s">
        <v>5</v>
      </c>
      <c r="F215" t="s">
        <v>12</v>
      </c>
      <c r="G215" t="s">
        <v>9</v>
      </c>
    </row>
    <row r="216" spans="1:7" x14ac:dyDescent="0.35">
      <c r="A216" s="1">
        <v>1.1666666666666701</v>
      </c>
      <c r="B216">
        <v>41</v>
      </c>
      <c r="C216">
        <v>0</v>
      </c>
      <c r="D216">
        <v>37</v>
      </c>
      <c r="E216" t="s">
        <v>5</v>
      </c>
      <c r="F216" t="s">
        <v>12</v>
      </c>
      <c r="G216" t="s">
        <v>9</v>
      </c>
    </row>
    <row r="217" spans="1:7" x14ac:dyDescent="0.35">
      <c r="A217" s="2">
        <v>0.29166666666666669</v>
      </c>
      <c r="B217">
        <v>37</v>
      </c>
      <c r="C217">
        <v>0</v>
      </c>
      <c r="D217">
        <v>37</v>
      </c>
      <c r="E217" t="s">
        <v>5</v>
      </c>
      <c r="F217" t="s">
        <v>12</v>
      </c>
      <c r="G217" t="s">
        <v>10</v>
      </c>
    </row>
    <row r="218" spans="1:7" x14ac:dyDescent="0.35">
      <c r="A218" s="1">
        <v>0.3125</v>
      </c>
      <c r="B218">
        <v>9</v>
      </c>
      <c r="C218">
        <v>0</v>
      </c>
      <c r="D218">
        <v>46</v>
      </c>
      <c r="E218" t="s">
        <v>5</v>
      </c>
      <c r="F218" t="s">
        <v>12</v>
      </c>
      <c r="G218" t="s">
        <v>10</v>
      </c>
    </row>
    <row r="219" spans="1:7" x14ac:dyDescent="0.35">
      <c r="A219" s="1">
        <v>0.33333333333333331</v>
      </c>
      <c r="B219">
        <v>25</v>
      </c>
      <c r="C219">
        <v>10</v>
      </c>
      <c r="D219">
        <v>61</v>
      </c>
      <c r="E219" t="s">
        <v>5</v>
      </c>
      <c r="F219" t="s">
        <v>12</v>
      </c>
      <c r="G219" t="s">
        <v>10</v>
      </c>
    </row>
    <row r="220" spans="1:7" x14ac:dyDescent="0.35">
      <c r="A220" s="1">
        <v>0.35416666666666669</v>
      </c>
      <c r="B220">
        <v>26</v>
      </c>
      <c r="C220">
        <v>23</v>
      </c>
      <c r="D220">
        <v>64</v>
      </c>
      <c r="E220" t="s">
        <v>5</v>
      </c>
      <c r="F220" t="s">
        <v>12</v>
      </c>
      <c r="G220" t="s">
        <v>10</v>
      </c>
    </row>
    <row r="221" spans="1:7" x14ac:dyDescent="0.35">
      <c r="A221" s="1">
        <v>0.375</v>
      </c>
      <c r="B221">
        <v>25</v>
      </c>
      <c r="C221">
        <v>8</v>
      </c>
      <c r="D221">
        <v>81</v>
      </c>
      <c r="E221" t="s">
        <v>5</v>
      </c>
      <c r="F221" t="s">
        <v>12</v>
      </c>
      <c r="G221" t="s">
        <v>10</v>
      </c>
    </row>
    <row r="222" spans="1:7" x14ac:dyDescent="0.35">
      <c r="A222" s="1">
        <v>0.39583333333333331</v>
      </c>
      <c r="B222">
        <v>6</v>
      </c>
      <c r="C222">
        <v>21</v>
      </c>
      <c r="D222">
        <v>66</v>
      </c>
      <c r="E222" t="s">
        <v>5</v>
      </c>
      <c r="F222" t="s">
        <v>12</v>
      </c>
      <c r="G222" t="s">
        <v>10</v>
      </c>
    </row>
    <row r="223" spans="1:7" x14ac:dyDescent="0.35">
      <c r="A223" s="1">
        <v>0.41666666666666669</v>
      </c>
      <c r="B223">
        <v>15</v>
      </c>
      <c r="C223">
        <v>12</v>
      </c>
      <c r="D223">
        <v>69</v>
      </c>
      <c r="E223" t="s">
        <v>5</v>
      </c>
      <c r="F223" t="s">
        <v>12</v>
      </c>
      <c r="G223" t="s">
        <v>10</v>
      </c>
    </row>
    <row r="224" spans="1:7" x14ac:dyDescent="0.35">
      <c r="A224" s="1">
        <v>0.4375</v>
      </c>
      <c r="B224">
        <v>12</v>
      </c>
      <c r="C224">
        <v>12</v>
      </c>
      <c r="D224">
        <v>69</v>
      </c>
      <c r="E224" t="s">
        <v>5</v>
      </c>
      <c r="F224" t="s">
        <v>12</v>
      </c>
      <c r="G224" t="s">
        <v>10</v>
      </c>
    </row>
    <row r="225" spans="1:7" x14ac:dyDescent="0.35">
      <c r="A225" s="1">
        <v>0.45833333333333331</v>
      </c>
      <c r="B225">
        <v>14</v>
      </c>
      <c r="C225">
        <v>13</v>
      </c>
      <c r="D225">
        <v>70</v>
      </c>
      <c r="E225" t="s">
        <v>5</v>
      </c>
      <c r="F225" t="s">
        <v>12</v>
      </c>
      <c r="G225" t="s">
        <v>10</v>
      </c>
    </row>
    <row r="226" spans="1:7" x14ac:dyDescent="0.35">
      <c r="A226" s="1">
        <v>0.47916666666666669</v>
      </c>
      <c r="B226">
        <v>17</v>
      </c>
      <c r="C226">
        <v>10</v>
      </c>
      <c r="D226">
        <v>77</v>
      </c>
      <c r="E226" t="s">
        <v>5</v>
      </c>
      <c r="F226" t="s">
        <v>12</v>
      </c>
      <c r="G226" t="s">
        <v>10</v>
      </c>
    </row>
    <row r="227" spans="1:7" x14ac:dyDescent="0.35">
      <c r="A227" s="1">
        <v>0.5</v>
      </c>
      <c r="B227">
        <v>20</v>
      </c>
      <c r="C227">
        <v>10</v>
      </c>
      <c r="D227">
        <v>87</v>
      </c>
      <c r="E227" t="s">
        <v>5</v>
      </c>
      <c r="F227" t="s">
        <v>12</v>
      </c>
      <c r="G227" t="s">
        <v>10</v>
      </c>
    </row>
    <row r="228" spans="1:7" x14ac:dyDescent="0.35">
      <c r="A228" s="1">
        <v>0.52083333333333337</v>
      </c>
      <c r="B228">
        <v>4</v>
      </c>
      <c r="C228">
        <v>16</v>
      </c>
      <c r="D228">
        <v>75</v>
      </c>
      <c r="E228" t="s">
        <v>5</v>
      </c>
      <c r="F228" t="s">
        <v>12</v>
      </c>
      <c r="G228" t="s">
        <v>10</v>
      </c>
    </row>
    <row r="229" spans="1:7" x14ac:dyDescent="0.35">
      <c r="A229" s="1">
        <v>0.54166666666666663</v>
      </c>
      <c r="B229">
        <v>10</v>
      </c>
      <c r="C229">
        <v>16</v>
      </c>
      <c r="D229">
        <v>69</v>
      </c>
      <c r="E229" t="s">
        <v>5</v>
      </c>
      <c r="F229" t="s">
        <v>12</v>
      </c>
      <c r="G229" t="s">
        <v>10</v>
      </c>
    </row>
    <row r="230" spans="1:7" x14ac:dyDescent="0.35">
      <c r="A230" s="1">
        <v>0.5625</v>
      </c>
      <c r="B230">
        <v>9</v>
      </c>
      <c r="C230">
        <v>8</v>
      </c>
      <c r="D230">
        <v>70</v>
      </c>
      <c r="E230" t="s">
        <v>5</v>
      </c>
      <c r="F230" t="s">
        <v>12</v>
      </c>
      <c r="G230" t="s">
        <v>10</v>
      </c>
    </row>
    <row r="231" spans="1:7" x14ac:dyDescent="0.35">
      <c r="A231" s="1">
        <v>0.58333333333333337</v>
      </c>
      <c r="B231">
        <v>22</v>
      </c>
      <c r="C231">
        <v>13</v>
      </c>
      <c r="D231">
        <v>79</v>
      </c>
      <c r="E231" t="s">
        <v>5</v>
      </c>
      <c r="F231" t="s">
        <v>12</v>
      </c>
      <c r="G231" t="s">
        <v>10</v>
      </c>
    </row>
    <row r="232" spans="1:7" x14ac:dyDescent="0.35">
      <c r="A232" s="1">
        <v>0.60416666666666663</v>
      </c>
      <c r="B232">
        <v>28</v>
      </c>
      <c r="C232">
        <v>19</v>
      </c>
      <c r="D232">
        <v>88</v>
      </c>
      <c r="E232" t="s">
        <v>5</v>
      </c>
      <c r="F232" t="s">
        <v>12</v>
      </c>
      <c r="G232" t="s">
        <v>10</v>
      </c>
    </row>
    <row r="233" spans="1:7" x14ac:dyDescent="0.35">
      <c r="A233" s="1">
        <v>0.625</v>
      </c>
      <c r="B233">
        <v>20</v>
      </c>
      <c r="C233">
        <v>11</v>
      </c>
      <c r="D233">
        <v>97</v>
      </c>
      <c r="E233" t="s">
        <v>5</v>
      </c>
      <c r="F233" t="s">
        <v>12</v>
      </c>
      <c r="G233" t="s">
        <v>10</v>
      </c>
    </row>
    <row r="234" spans="1:7" x14ac:dyDescent="0.35">
      <c r="A234" s="1">
        <v>0.64583333333333337</v>
      </c>
      <c r="B234">
        <v>35</v>
      </c>
      <c r="C234">
        <v>30</v>
      </c>
      <c r="D234">
        <v>102</v>
      </c>
      <c r="E234" t="s">
        <v>5</v>
      </c>
      <c r="F234" t="s">
        <v>12</v>
      </c>
      <c r="G234" t="s">
        <v>10</v>
      </c>
    </row>
    <row r="235" spans="1:7" x14ac:dyDescent="0.35">
      <c r="A235" s="1">
        <v>0.66666666666666663</v>
      </c>
      <c r="B235">
        <v>82</v>
      </c>
      <c r="C235">
        <v>39</v>
      </c>
      <c r="D235">
        <v>145</v>
      </c>
      <c r="E235" t="s">
        <v>5</v>
      </c>
      <c r="F235" t="s">
        <v>12</v>
      </c>
      <c r="G235" t="s">
        <v>10</v>
      </c>
    </row>
    <row r="236" spans="1:7" x14ac:dyDescent="0.35">
      <c r="A236" s="1">
        <v>0.6875</v>
      </c>
      <c r="B236">
        <v>30</v>
      </c>
      <c r="C236">
        <v>26</v>
      </c>
      <c r="D236">
        <v>149</v>
      </c>
      <c r="E236" t="s">
        <v>5</v>
      </c>
      <c r="F236" t="s">
        <v>12</v>
      </c>
      <c r="G236" t="s">
        <v>10</v>
      </c>
    </row>
    <row r="237" spans="1:7" x14ac:dyDescent="0.35">
      <c r="A237" s="1">
        <v>0.70833333333333337</v>
      </c>
      <c r="B237">
        <v>44</v>
      </c>
      <c r="C237">
        <v>35</v>
      </c>
      <c r="D237">
        <v>158</v>
      </c>
      <c r="E237" t="s">
        <v>5</v>
      </c>
      <c r="F237" t="s">
        <v>12</v>
      </c>
      <c r="G237" t="s">
        <v>10</v>
      </c>
    </row>
    <row r="238" spans="1:7" x14ac:dyDescent="0.35">
      <c r="A238" s="1">
        <v>0.72916666666666663</v>
      </c>
      <c r="B238">
        <v>51</v>
      </c>
      <c r="C238">
        <v>18</v>
      </c>
      <c r="D238">
        <v>191</v>
      </c>
      <c r="E238" t="s">
        <v>5</v>
      </c>
      <c r="F238" t="s">
        <v>12</v>
      </c>
      <c r="G238" t="s">
        <v>10</v>
      </c>
    </row>
    <row r="239" spans="1:7" x14ac:dyDescent="0.35">
      <c r="A239" s="1">
        <v>0.75</v>
      </c>
      <c r="B239">
        <v>91</v>
      </c>
      <c r="C239">
        <v>47</v>
      </c>
      <c r="D239">
        <v>235</v>
      </c>
      <c r="E239" t="s">
        <v>5</v>
      </c>
      <c r="F239" t="s">
        <v>12</v>
      </c>
      <c r="G239" t="s">
        <v>10</v>
      </c>
    </row>
    <row r="240" spans="1:7" x14ac:dyDescent="0.35">
      <c r="A240" s="1">
        <v>0.77083333333333337</v>
      </c>
      <c r="B240">
        <v>56</v>
      </c>
      <c r="C240">
        <v>33</v>
      </c>
      <c r="D240">
        <v>258</v>
      </c>
      <c r="E240" t="s">
        <v>5</v>
      </c>
      <c r="F240" t="s">
        <v>12</v>
      </c>
      <c r="G240" t="s">
        <v>10</v>
      </c>
    </row>
    <row r="241" spans="1:7" x14ac:dyDescent="0.35">
      <c r="A241" s="1">
        <v>0.79166666666666663</v>
      </c>
      <c r="B241">
        <v>69</v>
      </c>
      <c r="C241">
        <v>74</v>
      </c>
      <c r="D241">
        <v>253</v>
      </c>
      <c r="E241" t="s">
        <v>5</v>
      </c>
      <c r="F241" t="s">
        <v>12</v>
      </c>
      <c r="G241" t="s">
        <v>10</v>
      </c>
    </row>
    <row r="242" spans="1:7" x14ac:dyDescent="0.35">
      <c r="A242" s="1">
        <v>0.8125</v>
      </c>
      <c r="B242">
        <v>92</v>
      </c>
      <c r="C242">
        <v>59</v>
      </c>
      <c r="D242">
        <v>286</v>
      </c>
      <c r="E242" t="s">
        <v>5</v>
      </c>
      <c r="F242" t="s">
        <v>12</v>
      </c>
      <c r="G242" t="s">
        <v>10</v>
      </c>
    </row>
    <row r="243" spans="1:7" x14ac:dyDescent="0.35">
      <c r="A243" s="1">
        <v>0.83333333333333337</v>
      </c>
      <c r="B243">
        <v>76</v>
      </c>
      <c r="C243">
        <v>69</v>
      </c>
      <c r="D243">
        <v>293</v>
      </c>
      <c r="E243" t="s">
        <v>5</v>
      </c>
      <c r="F243" t="s">
        <v>12</v>
      </c>
      <c r="G243" t="s">
        <v>10</v>
      </c>
    </row>
    <row r="244" spans="1:7" x14ac:dyDescent="0.35">
      <c r="A244" s="1">
        <v>0.85416666666666696</v>
      </c>
      <c r="B244">
        <v>66</v>
      </c>
      <c r="C244">
        <v>74</v>
      </c>
      <c r="D244">
        <v>285</v>
      </c>
      <c r="E244" t="s">
        <v>5</v>
      </c>
      <c r="F244" t="s">
        <v>12</v>
      </c>
      <c r="G244" t="s">
        <v>10</v>
      </c>
    </row>
    <row r="245" spans="1:7" x14ac:dyDescent="0.35">
      <c r="A245" s="1">
        <v>0.875</v>
      </c>
      <c r="B245">
        <v>132</v>
      </c>
      <c r="C245">
        <v>38</v>
      </c>
      <c r="D245">
        <v>379</v>
      </c>
      <c r="E245" t="s">
        <v>5</v>
      </c>
      <c r="F245" t="s">
        <v>12</v>
      </c>
      <c r="G245" t="s">
        <v>10</v>
      </c>
    </row>
    <row r="246" spans="1:7" x14ac:dyDescent="0.35">
      <c r="A246" s="1">
        <v>0.89583333333333304</v>
      </c>
      <c r="B246">
        <v>88</v>
      </c>
      <c r="C246">
        <v>74</v>
      </c>
      <c r="D246">
        <v>393</v>
      </c>
      <c r="E246" t="s">
        <v>5</v>
      </c>
      <c r="F246" t="s">
        <v>12</v>
      </c>
      <c r="G246" t="s">
        <v>10</v>
      </c>
    </row>
    <row r="247" spans="1:7" x14ac:dyDescent="0.35">
      <c r="A247" s="1">
        <v>0.91666666666666696</v>
      </c>
      <c r="B247">
        <v>76</v>
      </c>
      <c r="C247">
        <v>88</v>
      </c>
      <c r="D247">
        <v>381</v>
      </c>
      <c r="E247" t="s">
        <v>5</v>
      </c>
      <c r="F247" t="s">
        <v>12</v>
      </c>
      <c r="G247" t="s">
        <v>10</v>
      </c>
    </row>
    <row r="248" spans="1:7" x14ac:dyDescent="0.35">
      <c r="A248" s="1">
        <v>0.9375</v>
      </c>
      <c r="B248">
        <v>62</v>
      </c>
      <c r="C248">
        <v>99</v>
      </c>
      <c r="D248">
        <v>344</v>
      </c>
      <c r="E248" t="s">
        <v>5</v>
      </c>
      <c r="F248" t="s">
        <v>12</v>
      </c>
      <c r="G248" t="s">
        <v>10</v>
      </c>
    </row>
    <row r="249" spans="1:7" x14ac:dyDescent="0.35">
      <c r="A249" s="1">
        <v>0.95833333333333404</v>
      </c>
      <c r="B249">
        <v>66</v>
      </c>
      <c r="C249">
        <v>90</v>
      </c>
      <c r="D249">
        <v>320</v>
      </c>
      <c r="E249" t="s">
        <v>5</v>
      </c>
      <c r="F249" t="s">
        <v>12</v>
      </c>
      <c r="G249" t="s">
        <v>10</v>
      </c>
    </row>
    <row r="250" spans="1:7" x14ac:dyDescent="0.35">
      <c r="A250" s="1">
        <v>0.97916666666666696</v>
      </c>
      <c r="B250">
        <v>10</v>
      </c>
      <c r="C250">
        <v>94</v>
      </c>
      <c r="D250">
        <v>236</v>
      </c>
      <c r="E250" t="s">
        <v>5</v>
      </c>
      <c r="F250" t="s">
        <v>12</v>
      </c>
      <c r="G250" t="s">
        <v>10</v>
      </c>
    </row>
    <row r="251" spans="1:7" x14ac:dyDescent="0.35">
      <c r="A251" s="1">
        <v>1</v>
      </c>
      <c r="B251">
        <v>30</v>
      </c>
      <c r="C251">
        <v>172</v>
      </c>
      <c r="D251">
        <v>94</v>
      </c>
      <c r="E251" t="s">
        <v>5</v>
      </c>
      <c r="F251" t="s">
        <v>12</v>
      </c>
      <c r="G251" t="s">
        <v>10</v>
      </c>
    </row>
    <row r="252" spans="1:7" x14ac:dyDescent="0.35">
      <c r="A252" s="1">
        <v>1.0208333333333399</v>
      </c>
      <c r="B252">
        <v>0</v>
      </c>
      <c r="C252">
        <v>94</v>
      </c>
      <c r="D252">
        <v>0</v>
      </c>
      <c r="E252" t="s">
        <v>5</v>
      </c>
      <c r="F252" t="s">
        <v>12</v>
      </c>
      <c r="G252" t="s">
        <v>10</v>
      </c>
    </row>
    <row r="253" spans="1:7" x14ac:dyDescent="0.35">
      <c r="A253" s="1">
        <v>1.0416666666666701</v>
      </c>
      <c r="B253">
        <v>0</v>
      </c>
      <c r="C253">
        <v>0</v>
      </c>
      <c r="D253">
        <v>0</v>
      </c>
      <c r="E253" t="s">
        <v>5</v>
      </c>
      <c r="F253" t="s">
        <v>12</v>
      </c>
      <c r="G253" t="s">
        <v>10</v>
      </c>
    </row>
    <row r="254" spans="1:7" x14ac:dyDescent="0.35">
      <c r="A254" s="1">
        <v>1.0625</v>
      </c>
      <c r="B254">
        <v>0</v>
      </c>
      <c r="C254">
        <v>0</v>
      </c>
      <c r="D254">
        <v>0</v>
      </c>
      <c r="E254" t="s">
        <v>5</v>
      </c>
      <c r="F254" t="s">
        <v>12</v>
      </c>
      <c r="G254" t="s">
        <v>10</v>
      </c>
    </row>
    <row r="255" spans="1:7" x14ac:dyDescent="0.35">
      <c r="A255" s="1">
        <v>1.0833333333333399</v>
      </c>
      <c r="B255">
        <v>0</v>
      </c>
      <c r="C255">
        <v>0</v>
      </c>
      <c r="D255">
        <v>0</v>
      </c>
      <c r="E255" t="s">
        <v>5</v>
      </c>
      <c r="F255" t="s">
        <v>12</v>
      </c>
      <c r="G255" t="s">
        <v>10</v>
      </c>
    </row>
    <row r="256" spans="1:7" x14ac:dyDescent="0.35">
      <c r="A256" s="1">
        <v>1.1041666666666701</v>
      </c>
      <c r="B256">
        <v>0</v>
      </c>
      <c r="C256">
        <v>0</v>
      </c>
      <c r="D256">
        <v>0</v>
      </c>
      <c r="E256" t="s">
        <v>5</v>
      </c>
      <c r="F256" t="s">
        <v>12</v>
      </c>
      <c r="G256" t="s">
        <v>10</v>
      </c>
    </row>
    <row r="257" spans="1:7" x14ac:dyDescent="0.35">
      <c r="A257" s="1">
        <v>1.12500000000001</v>
      </c>
      <c r="B257">
        <v>0</v>
      </c>
      <c r="C257">
        <v>0</v>
      </c>
      <c r="D257">
        <v>0</v>
      </c>
      <c r="E257" t="s">
        <v>5</v>
      </c>
      <c r="F257" t="s">
        <v>12</v>
      </c>
      <c r="G257" t="s">
        <v>10</v>
      </c>
    </row>
    <row r="258" spans="1:7" x14ac:dyDescent="0.35">
      <c r="A258" s="1">
        <v>1.1458333333333399</v>
      </c>
      <c r="B258">
        <v>0</v>
      </c>
      <c r="C258">
        <v>0</v>
      </c>
      <c r="D258">
        <v>0</v>
      </c>
      <c r="E258" t="s">
        <v>5</v>
      </c>
      <c r="F258" t="s">
        <v>12</v>
      </c>
      <c r="G258" t="s">
        <v>10</v>
      </c>
    </row>
    <row r="259" spans="1:7" x14ac:dyDescent="0.35">
      <c r="A259" s="1">
        <v>1.1666666666666701</v>
      </c>
      <c r="B259">
        <v>0</v>
      </c>
      <c r="C259">
        <v>0</v>
      </c>
      <c r="D259">
        <v>0</v>
      </c>
      <c r="E259" t="s">
        <v>5</v>
      </c>
      <c r="F259" t="s">
        <v>12</v>
      </c>
      <c r="G259" t="s">
        <v>10</v>
      </c>
    </row>
    <row r="260" spans="1:7" x14ac:dyDescent="0.35">
      <c r="A260" s="2">
        <v>0.29166666666666669</v>
      </c>
      <c r="B260">
        <v>2</v>
      </c>
      <c r="C260">
        <v>0</v>
      </c>
      <c r="D260">
        <v>2</v>
      </c>
      <c r="E260" t="s">
        <v>13</v>
      </c>
      <c r="F260" t="s">
        <v>7</v>
      </c>
      <c r="G260" t="s">
        <v>9</v>
      </c>
    </row>
    <row r="261" spans="1:7" x14ac:dyDescent="0.35">
      <c r="A261" s="1">
        <v>0.3125</v>
      </c>
      <c r="B261">
        <v>1</v>
      </c>
      <c r="C261">
        <v>0</v>
      </c>
      <c r="D261">
        <v>3</v>
      </c>
      <c r="E261" t="s">
        <v>13</v>
      </c>
      <c r="F261" t="s">
        <v>7</v>
      </c>
      <c r="G261" t="s">
        <v>9</v>
      </c>
    </row>
    <row r="262" spans="1:7" x14ac:dyDescent="0.35">
      <c r="A262" s="1">
        <v>0.33333333333333331</v>
      </c>
      <c r="B262">
        <v>37</v>
      </c>
      <c r="C262">
        <v>0</v>
      </c>
      <c r="D262">
        <v>40</v>
      </c>
      <c r="E262" t="s">
        <v>13</v>
      </c>
      <c r="F262" t="s">
        <v>7</v>
      </c>
      <c r="G262" t="s">
        <v>9</v>
      </c>
    </row>
    <row r="263" spans="1:7" x14ac:dyDescent="0.35">
      <c r="A263" s="1">
        <v>0.35416666666666669</v>
      </c>
      <c r="B263">
        <v>19</v>
      </c>
      <c r="C263">
        <v>4</v>
      </c>
      <c r="D263">
        <v>55</v>
      </c>
      <c r="E263" t="s">
        <v>13</v>
      </c>
      <c r="F263" t="s">
        <v>7</v>
      </c>
      <c r="G263" t="s">
        <v>9</v>
      </c>
    </row>
    <row r="264" spans="1:7" x14ac:dyDescent="0.35">
      <c r="A264" s="1">
        <v>0.375</v>
      </c>
      <c r="B264">
        <v>13</v>
      </c>
      <c r="C264">
        <v>10</v>
      </c>
      <c r="D264">
        <v>58</v>
      </c>
      <c r="E264" t="s">
        <v>13</v>
      </c>
      <c r="F264" t="s">
        <v>7</v>
      </c>
      <c r="G264" t="s">
        <v>9</v>
      </c>
    </row>
    <row r="265" spans="1:7" x14ac:dyDescent="0.35">
      <c r="A265" s="1">
        <v>0.39583333333333331</v>
      </c>
      <c r="B265">
        <v>13</v>
      </c>
      <c r="C265">
        <v>11</v>
      </c>
      <c r="D265">
        <v>60</v>
      </c>
      <c r="E265" t="s">
        <v>13</v>
      </c>
      <c r="F265" t="s">
        <v>7</v>
      </c>
      <c r="G265" t="s">
        <v>9</v>
      </c>
    </row>
    <row r="266" spans="1:7" x14ac:dyDescent="0.35">
      <c r="A266" s="1">
        <v>0.41666666666666669</v>
      </c>
      <c r="B266">
        <v>32</v>
      </c>
      <c r="C266">
        <v>6</v>
      </c>
      <c r="D266">
        <v>86</v>
      </c>
      <c r="E266" t="s">
        <v>13</v>
      </c>
      <c r="F266" t="s">
        <v>7</v>
      </c>
      <c r="G266" t="s">
        <v>9</v>
      </c>
    </row>
    <row r="267" spans="1:7" x14ac:dyDescent="0.35">
      <c r="A267" s="1">
        <v>0.4375</v>
      </c>
      <c r="B267">
        <v>13</v>
      </c>
      <c r="C267">
        <v>18</v>
      </c>
      <c r="D267">
        <v>81</v>
      </c>
      <c r="E267" t="s">
        <v>13</v>
      </c>
      <c r="F267" t="s">
        <v>7</v>
      </c>
      <c r="G267" t="s">
        <v>9</v>
      </c>
    </row>
    <row r="268" spans="1:7" x14ac:dyDescent="0.35">
      <c r="A268" s="1">
        <v>0.45833333333333331</v>
      </c>
      <c r="B268">
        <v>35</v>
      </c>
      <c r="C268">
        <v>14</v>
      </c>
      <c r="D268">
        <v>102</v>
      </c>
      <c r="E268" t="s">
        <v>13</v>
      </c>
      <c r="F268" t="s">
        <v>7</v>
      </c>
      <c r="G268" t="s">
        <v>9</v>
      </c>
    </row>
    <row r="269" spans="1:7" x14ac:dyDescent="0.35">
      <c r="A269" s="1">
        <v>0.47916666666666669</v>
      </c>
      <c r="B269">
        <v>26</v>
      </c>
      <c r="C269">
        <v>26</v>
      </c>
      <c r="D269">
        <v>102</v>
      </c>
      <c r="E269" t="s">
        <v>13</v>
      </c>
      <c r="F269" t="s">
        <v>7</v>
      </c>
      <c r="G269" t="s">
        <v>9</v>
      </c>
    </row>
    <row r="270" spans="1:7" x14ac:dyDescent="0.35">
      <c r="A270" s="1">
        <v>0.5</v>
      </c>
      <c r="B270">
        <v>21</v>
      </c>
      <c r="C270">
        <v>11</v>
      </c>
      <c r="D270">
        <v>112</v>
      </c>
      <c r="E270" t="s">
        <v>13</v>
      </c>
      <c r="F270" t="s">
        <v>7</v>
      </c>
      <c r="G270" t="s">
        <v>9</v>
      </c>
    </row>
    <row r="271" spans="1:7" x14ac:dyDescent="0.35">
      <c r="A271" s="1">
        <v>0.52083333333333337</v>
      </c>
      <c r="B271">
        <v>26</v>
      </c>
      <c r="C271">
        <v>27</v>
      </c>
      <c r="D271">
        <v>111</v>
      </c>
      <c r="E271" t="s">
        <v>13</v>
      </c>
      <c r="F271" t="s">
        <v>7</v>
      </c>
      <c r="G271" t="s">
        <v>9</v>
      </c>
    </row>
    <row r="272" spans="1:7" x14ac:dyDescent="0.35">
      <c r="A272" s="1">
        <v>0.54166666666666663</v>
      </c>
      <c r="B272">
        <v>46</v>
      </c>
      <c r="C272">
        <v>24</v>
      </c>
      <c r="D272">
        <v>133</v>
      </c>
      <c r="E272" t="s">
        <v>13</v>
      </c>
      <c r="F272" t="s">
        <v>7</v>
      </c>
      <c r="G272" t="s">
        <v>9</v>
      </c>
    </row>
    <row r="273" spans="1:7" x14ac:dyDescent="0.35">
      <c r="A273" s="1">
        <v>0.5625</v>
      </c>
      <c r="B273">
        <v>42</v>
      </c>
      <c r="C273">
        <v>36</v>
      </c>
      <c r="D273">
        <v>139</v>
      </c>
      <c r="E273" t="s">
        <v>13</v>
      </c>
      <c r="F273" t="s">
        <v>7</v>
      </c>
      <c r="G273" t="s">
        <v>9</v>
      </c>
    </row>
    <row r="274" spans="1:7" x14ac:dyDescent="0.35">
      <c r="A274" s="1">
        <v>0.58333333333333337</v>
      </c>
      <c r="B274">
        <v>69</v>
      </c>
      <c r="C274">
        <v>29</v>
      </c>
      <c r="D274">
        <v>179</v>
      </c>
      <c r="E274" t="s">
        <v>13</v>
      </c>
      <c r="F274" t="s">
        <v>7</v>
      </c>
      <c r="G274" t="s">
        <v>9</v>
      </c>
    </row>
    <row r="275" spans="1:7" x14ac:dyDescent="0.35">
      <c r="A275" s="1">
        <v>0.60416666666666663</v>
      </c>
      <c r="B275">
        <v>53</v>
      </c>
      <c r="C275">
        <v>55</v>
      </c>
      <c r="D275">
        <v>177</v>
      </c>
      <c r="E275" t="s">
        <v>13</v>
      </c>
      <c r="F275" t="s">
        <v>7</v>
      </c>
      <c r="G275" t="s">
        <v>9</v>
      </c>
    </row>
    <row r="276" spans="1:7" x14ac:dyDescent="0.35">
      <c r="A276" s="1">
        <v>0.625</v>
      </c>
      <c r="B276">
        <v>20</v>
      </c>
      <c r="C276">
        <v>22</v>
      </c>
      <c r="D276">
        <v>175</v>
      </c>
      <c r="E276" t="s">
        <v>13</v>
      </c>
      <c r="F276" t="s">
        <v>7</v>
      </c>
      <c r="G276" t="s">
        <v>9</v>
      </c>
    </row>
    <row r="277" spans="1:7" x14ac:dyDescent="0.35">
      <c r="A277" s="1">
        <v>0.64583333333333337</v>
      </c>
      <c r="B277">
        <v>39</v>
      </c>
      <c r="C277">
        <v>42</v>
      </c>
      <c r="D277">
        <v>172</v>
      </c>
      <c r="E277" t="s">
        <v>13</v>
      </c>
      <c r="F277" t="s">
        <v>7</v>
      </c>
      <c r="G277" t="s">
        <v>9</v>
      </c>
    </row>
    <row r="278" spans="1:7" x14ac:dyDescent="0.35">
      <c r="A278" s="1">
        <v>0.66666666666666663</v>
      </c>
      <c r="B278">
        <v>35</v>
      </c>
      <c r="C278">
        <v>43</v>
      </c>
      <c r="D278">
        <v>164</v>
      </c>
      <c r="E278" t="s">
        <v>13</v>
      </c>
      <c r="F278" t="s">
        <v>7</v>
      </c>
      <c r="G278" t="s">
        <v>9</v>
      </c>
    </row>
    <row r="279" spans="1:7" x14ac:dyDescent="0.35">
      <c r="A279" s="1">
        <v>0.6875</v>
      </c>
      <c r="B279">
        <v>63</v>
      </c>
      <c r="C279">
        <v>38</v>
      </c>
      <c r="D279">
        <v>189</v>
      </c>
      <c r="E279" t="s">
        <v>13</v>
      </c>
      <c r="F279" t="s">
        <v>7</v>
      </c>
      <c r="G279" t="s">
        <v>9</v>
      </c>
    </row>
    <row r="280" spans="1:7" x14ac:dyDescent="0.35">
      <c r="A280" s="1">
        <v>0.70833333333333337</v>
      </c>
      <c r="B280">
        <v>42</v>
      </c>
      <c r="C280">
        <v>31</v>
      </c>
      <c r="D280">
        <v>200</v>
      </c>
      <c r="E280" t="s">
        <v>13</v>
      </c>
      <c r="F280" t="s">
        <v>7</v>
      </c>
      <c r="G280" t="s">
        <v>9</v>
      </c>
    </row>
    <row r="281" spans="1:7" x14ac:dyDescent="0.35">
      <c r="A281" s="1">
        <v>0.72916666666666663</v>
      </c>
      <c r="B281">
        <v>71</v>
      </c>
      <c r="C281">
        <v>59</v>
      </c>
      <c r="D281">
        <v>212</v>
      </c>
      <c r="E281" t="s">
        <v>13</v>
      </c>
      <c r="F281" t="s">
        <v>7</v>
      </c>
      <c r="G281" t="s">
        <v>9</v>
      </c>
    </row>
    <row r="282" spans="1:7" x14ac:dyDescent="0.35">
      <c r="A282" s="1">
        <v>0.75</v>
      </c>
      <c r="B282">
        <v>55</v>
      </c>
      <c r="C282">
        <v>34</v>
      </c>
      <c r="D282">
        <v>233</v>
      </c>
      <c r="E282" t="s">
        <v>13</v>
      </c>
      <c r="F282" t="s">
        <v>7</v>
      </c>
      <c r="G282" t="s">
        <v>9</v>
      </c>
    </row>
    <row r="283" spans="1:7" x14ac:dyDescent="0.35">
      <c r="A283" s="1">
        <v>0.77083333333333337</v>
      </c>
      <c r="B283">
        <v>76</v>
      </c>
      <c r="C283">
        <v>55</v>
      </c>
      <c r="D283">
        <v>254</v>
      </c>
      <c r="E283" t="s">
        <v>13</v>
      </c>
      <c r="F283" t="s">
        <v>7</v>
      </c>
      <c r="G283" t="s">
        <v>9</v>
      </c>
    </row>
    <row r="284" spans="1:7" x14ac:dyDescent="0.35">
      <c r="A284" s="1">
        <v>0.79166666666666663</v>
      </c>
      <c r="B284">
        <v>41</v>
      </c>
      <c r="C284">
        <v>49</v>
      </c>
      <c r="D284">
        <v>246</v>
      </c>
      <c r="E284" t="s">
        <v>13</v>
      </c>
      <c r="F284" t="s">
        <v>7</v>
      </c>
      <c r="G284" t="s">
        <v>9</v>
      </c>
    </row>
    <row r="285" spans="1:7" x14ac:dyDescent="0.35">
      <c r="A285" s="1">
        <v>0.8125</v>
      </c>
      <c r="B285">
        <v>55</v>
      </c>
      <c r="C285">
        <v>76</v>
      </c>
      <c r="D285">
        <v>225</v>
      </c>
      <c r="E285" t="s">
        <v>13</v>
      </c>
      <c r="F285" t="s">
        <v>7</v>
      </c>
      <c r="G285" t="s">
        <v>9</v>
      </c>
    </row>
    <row r="286" spans="1:7" x14ac:dyDescent="0.35">
      <c r="A286" s="1">
        <v>0.83333333333333337</v>
      </c>
      <c r="B286">
        <v>28</v>
      </c>
      <c r="C286">
        <v>30</v>
      </c>
      <c r="D286">
        <v>223</v>
      </c>
      <c r="E286" t="s">
        <v>13</v>
      </c>
      <c r="F286" t="s">
        <v>7</v>
      </c>
      <c r="G286" t="s">
        <v>9</v>
      </c>
    </row>
    <row r="287" spans="1:7" x14ac:dyDescent="0.35">
      <c r="A287" s="1">
        <v>0.85416666666666696</v>
      </c>
      <c r="B287">
        <v>3</v>
      </c>
      <c r="C287">
        <v>189</v>
      </c>
      <c r="D287">
        <v>37</v>
      </c>
      <c r="E287" t="s">
        <v>13</v>
      </c>
      <c r="F287" t="s">
        <v>7</v>
      </c>
      <c r="G287" t="s">
        <v>9</v>
      </c>
    </row>
    <row r="288" spans="1:7" x14ac:dyDescent="0.35">
      <c r="A288" s="1">
        <v>0.875</v>
      </c>
      <c r="B288">
        <v>0</v>
      </c>
      <c r="C288">
        <v>27</v>
      </c>
      <c r="D288">
        <v>10</v>
      </c>
      <c r="E288" t="s">
        <v>13</v>
      </c>
      <c r="F288" t="s">
        <v>7</v>
      </c>
      <c r="G288" t="s">
        <v>9</v>
      </c>
    </row>
    <row r="289" spans="1:7" x14ac:dyDescent="0.35">
      <c r="A289" s="1">
        <v>0.89583333333333304</v>
      </c>
      <c r="B289">
        <v>0</v>
      </c>
      <c r="C289">
        <v>10</v>
      </c>
      <c r="D289">
        <v>0</v>
      </c>
      <c r="E289" t="s">
        <v>13</v>
      </c>
      <c r="F289" t="s">
        <v>7</v>
      </c>
      <c r="G289" t="s">
        <v>9</v>
      </c>
    </row>
    <row r="290" spans="1:7" x14ac:dyDescent="0.35">
      <c r="A290" s="1">
        <v>0.91666666666666696</v>
      </c>
      <c r="B290">
        <v>0</v>
      </c>
      <c r="C290">
        <v>0</v>
      </c>
      <c r="D290">
        <v>0</v>
      </c>
      <c r="E290" t="s">
        <v>13</v>
      </c>
      <c r="F290" t="s">
        <v>7</v>
      </c>
      <c r="G290" t="s">
        <v>9</v>
      </c>
    </row>
    <row r="291" spans="1:7" x14ac:dyDescent="0.35">
      <c r="A291" s="1">
        <v>0.9375</v>
      </c>
      <c r="B291">
        <v>0</v>
      </c>
      <c r="C291">
        <v>0</v>
      </c>
      <c r="D291">
        <v>0</v>
      </c>
      <c r="E291" t="s">
        <v>13</v>
      </c>
      <c r="F291" t="s">
        <v>7</v>
      </c>
      <c r="G291" t="s">
        <v>9</v>
      </c>
    </row>
    <row r="292" spans="1:7" x14ac:dyDescent="0.35">
      <c r="A292" s="1">
        <v>0.95833333333333404</v>
      </c>
      <c r="B292">
        <v>0</v>
      </c>
      <c r="C292">
        <v>0</v>
      </c>
      <c r="D292">
        <v>0</v>
      </c>
      <c r="E292" t="s">
        <v>13</v>
      </c>
      <c r="F292" t="s">
        <v>7</v>
      </c>
      <c r="G292" t="s">
        <v>9</v>
      </c>
    </row>
    <row r="293" spans="1:7" x14ac:dyDescent="0.35">
      <c r="A293" s="1">
        <v>0.97916666666666696</v>
      </c>
      <c r="B293">
        <v>0</v>
      </c>
      <c r="C293">
        <v>0</v>
      </c>
      <c r="D293">
        <v>0</v>
      </c>
      <c r="E293" t="s">
        <v>13</v>
      </c>
      <c r="F293" t="s">
        <v>7</v>
      </c>
      <c r="G293" t="s">
        <v>9</v>
      </c>
    </row>
    <row r="294" spans="1:7" x14ac:dyDescent="0.35">
      <c r="A294" s="1">
        <v>1</v>
      </c>
      <c r="B294">
        <v>0</v>
      </c>
      <c r="C294">
        <v>0</v>
      </c>
      <c r="D294">
        <v>0</v>
      </c>
      <c r="E294" t="s">
        <v>13</v>
      </c>
      <c r="F294" t="s">
        <v>7</v>
      </c>
      <c r="G294" t="s">
        <v>9</v>
      </c>
    </row>
    <row r="295" spans="1:7" x14ac:dyDescent="0.35">
      <c r="A295" s="1">
        <v>1.0208333333333399</v>
      </c>
      <c r="B295">
        <v>0</v>
      </c>
      <c r="C295">
        <v>0</v>
      </c>
      <c r="D295">
        <v>0</v>
      </c>
      <c r="E295" t="s">
        <v>13</v>
      </c>
      <c r="F295" t="s">
        <v>7</v>
      </c>
      <c r="G295" t="s">
        <v>9</v>
      </c>
    </row>
    <row r="296" spans="1:7" x14ac:dyDescent="0.35">
      <c r="A296" s="1">
        <v>1.0416666666666701</v>
      </c>
      <c r="B296">
        <v>0</v>
      </c>
      <c r="C296">
        <v>0</v>
      </c>
      <c r="D296">
        <v>0</v>
      </c>
      <c r="E296" t="s">
        <v>13</v>
      </c>
      <c r="F296" t="s">
        <v>7</v>
      </c>
      <c r="G296" t="s">
        <v>9</v>
      </c>
    </row>
    <row r="297" spans="1:7" x14ac:dyDescent="0.35">
      <c r="A297" s="1">
        <v>1.0625</v>
      </c>
      <c r="B297">
        <v>0</v>
      </c>
      <c r="C297">
        <v>0</v>
      </c>
      <c r="D297">
        <v>0</v>
      </c>
      <c r="E297" t="s">
        <v>13</v>
      </c>
      <c r="F297" t="s">
        <v>7</v>
      </c>
      <c r="G297" t="s">
        <v>9</v>
      </c>
    </row>
    <row r="298" spans="1:7" x14ac:dyDescent="0.35">
      <c r="A298" s="1">
        <v>1.0833333333333399</v>
      </c>
      <c r="B298">
        <v>0</v>
      </c>
      <c r="C298">
        <v>0</v>
      </c>
      <c r="D298">
        <v>0</v>
      </c>
      <c r="E298" t="s">
        <v>13</v>
      </c>
      <c r="F298" t="s">
        <v>7</v>
      </c>
      <c r="G298" t="s">
        <v>9</v>
      </c>
    </row>
    <row r="299" spans="1:7" x14ac:dyDescent="0.35">
      <c r="A299" s="1">
        <v>1.1041666666666701</v>
      </c>
      <c r="B299">
        <v>0</v>
      </c>
      <c r="C299">
        <v>0</v>
      </c>
      <c r="D299">
        <v>0</v>
      </c>
      <c r="E299" t="s">
        <v>13</v>
      </c>
      <c r="F299" t="s">
        <v>7</v>
      </c>
      <c r="G299" t="s">
        <v>9</v>
      </c>
    </row>
    <row r="300" spans="1:7" x14ac:dyDescent="0.35">
      <c r="A300" s="1">
        <v>1.12500000000001</v>
      </c>
      <c r="B300">
        <v>0</v>
      </c>
      <c r="C300">
        <v>0</v>
      </c>
      <c r="D300">
        <v>0</v>
      </c>
      <c r="E300" t="s">
        <v>13</v>
      </c>
      <c r="F300" t="s">
        <v>7</v>
      </c>
      <c r="G300" t="s">
        <v>9</v>
      </c>
    </row>
    <row r="301" spans="1:7" x14ac:dyDescent="0.35">
      <c r="A301" s="1">
        <v>1.1458333333333399</v>
      </c>
      <c r="B301">
        <v>0</v>
      </c>
      <c r="C301">
        <v>0</v>
      </c>
      <c r="D301">
        <v>0</v>
      </c>
      <c r="E301" t="s">
        <v>13</v>
      </c>
      <c r="F301" t="s">
        <v>7</v>
      </c>
      <c r="G301" t="s">
        <v>9</v>
      </c>
    </row>
    <row r="302" spans="1:7" x14ac:dyDescent="0.35">
      <c r="A302" s="1">
        <v>1.1666666666666701</v>
      </c>
      <c r="B302">
        <v>0</v>
      </c>
      <c r="C302">
        <v>0</v>
      </c>
      <c r="D302">
        <v>0</v>
      </c>
      <c r="E302" t="s">
        <v>13</v>
      </c>
      <c r="F302" t="s">
        <v>7</v>
      </c>
      <c r="G302" t="s">
        <v>9</v>
      </c>
    </row>
    <row r="303" spans="1:7" x14ac:dyDescent="0.35">
      <c r="A303" s="2">
        <v>0.29166666666666669</v>
      </c>
      <c r="B303">
        <v>1</v>
      </c>
      <c r="C303">
        <v>0</v>
      </c>
      <c r="D303">
        <v>1</v>
      </c>
      <c r="E303" t="s">
        <v>13</v>
      </c>
      <c r="F303" t="s">
        <v>7</v>
      </c>
      <c r="G303" t="s">
        <v>10</v>
      </c>
    </row>
    <row r="304" spans="1:7" x14ac:dyDescent="0.35">
      <c r="A304" s="1">
        <v>0.3125</v>
      </c>
      <c r="B304">
        <v>0</v>
      </c>
      <c r="C304">
        <v>0</v>
      </c>
      <c r="D304">
        <v>1</v>
      </c>
      <c r="E304" t="s">
        <v>13</v>
      </c>
      <c r="F304" t="s">
        <v>7</v>
      </c>
      <c r="G304" t="s">
        <v>10</v>
      </c>
    </row>
    <row r="305" spans="1:7" x14ac:dyDescent="0.35">
      <c r="A305" s="1">
        <v>0.33333333333333331</v>
      </c>
      <c r="B305">
        <v>12</v>
      </c>
      <c r="C305">
        <v>0</v>
      </c>
      <c r="D305">
        <v>13</v>
      </c>
      <c r="E305" t="s">
        <v>13</v>
      </c>
      <c r="F305" t="s">
        <v>7</v>
      </c>
      <c r="G305" t="s">
        <v>10</v>
      </c>
    </row>
    <row r="306" spans="1:7" x14ac:dyDescent="0.35">
      <c r="A306" s="1">
        <v>0.35416666666666669</v>
      </c>
      <c r="B306">
        <v>0</v>
      </c>
      <c r="C306">
        <v>4</v>
      </c>
      <c r="D306">
        <v>9</v>
      </c>
      <c r="E306" t="s">
        <v>13</v>
      </c>
      <c r="F306" t="s">
        <v>7</v>
      </c>
      <c r="G306" t="s">
        <v>10</v>
      </c>
    </row>
    <row r="307" spans="1:7" x14ac:dyDescent="0.35">
      <c r="A307" s="1">
        <v>0.375</v>
      </c>
      <c r="B307">
        <v>3</v>
      </c>
      <c r="C307">
        <v>1</v>
      </c>
      <c r="D307">
        <v>11</v>
      </c>
      <c r="E307" t="s">
        <v>13</v>
      </c>
      <c r="F307" t="s">
        <v>7</v>
      </c>
      <c r="G307" t="s">
        <v>10</v>
      </c>
    </row>
    <row r="308" spans="1:7" x14ac:dyDescent="0.35">
      <c r="A308" s="1">
        <v>0.39583333333333331</v>
      </c>
      <c r="B308">
        <v>3</v>
      </c>
      <c r="C308">
        <v>2</v>
      </c>
      <c r="D308">
        <v>12</v>
      </c>
      <c r="E308" t="s">
        <v>13</v>
      </c>
      <c r="F308" t="s">
        <v>7</v>
      </c>
      <c r="G308" t="s">
        <v>10</v>
      </c>
    </row>
    <row r="309" spans="1:7" x14ac:dyDescent="0.35">
      <c r="A309" s="1">
        <v>0.41666666666666669</v>
      </c>
      <c r="B309">
        <v>6</v>
      </c>
      <c r="C309">
        <v>2</v>
      </c>
      <c r="D309">
        <v>16</v>
      </c>
      <c r="E309" t="s">
        <v>13</v>
      </c>
      <c r="F309" t="s">
        <v>7</v>
      </c>
      <c r="G309" t="s">
        <v>10</v>
      </c>
    </row>
    <row r="310" spans="1:7" x14ac:dyDescent="0.35">
      <c r="A310" s="1">
        <v>0.4375</v>
      </c>
      <c r="B310">
        <v>10</v>
      </c>
      <c r="C310">
        <v>3</v>
      </c>
      <c r="D310">
        <v>23</v>
      </c>
      <c r="E310" t="s">
        <v>13</v>
      </c>
      <c r="F310" t="s">
        <v>7</v>
      </c>
      <c r="G310" t="s">
        <v>10</v>
      </c>
    </row>
    <row r="311" spans="1:7" x14ac:dyDescent="0.35">
      <c r="A311" s="1">
        <v>0.45833333333333331</v>
      </c>
      <c r="B311">
        <v>13</v>
      </c>
      <c r="C311">
        <v>4</v>
      </c>
      <c r="D311">
        <v>32</v>
      </c>
      <c r="E311" t="s">
        <v>13</v>
      </c>
      <c r="F311" t="s">
        <v>7</v>
      </c>
      <c r="G311" t="s">
        <v>10</v>
      </c>
    </row>
    <row r="312" spans="1:7" x14ac:dyDescent="0.35">
      <c r="A312" s="1">
        <v>0.47916666666666669</v>
      </c>
      <c r="B312">
        <v>6</v>
      </c>
      <c r="C312">
        <v>5</v>
      </c>
      <c r="D312">
        <v>33</v>
      </c>
      <c r="E312" t="s">
        <v>13</v>
      </c>
      <c r="F312" t="s">
        <v>7</v>
      </c>
      <c r="G312" t="s">
        <v>10</v>
      </c>
    </row>
    <row r="313" spans="1:7" x14ac:dyDescent="0.35">
      <c r="A313" s="1">
        <v>0.5</v>
      </c>
      <c r="B313">
        <v>5</v>
      </c>
      <c r="C313">
        <v>2</v>
      </c>
      <c r="D313">
        <v>36</v>
      </c>
      <c r="E313" t="s">
        <v>13</v>
      </c>
      <c r="F313" t="s">
        <v>7</v>
      </c>
      <c r="G313" t="s">
        <v>10</v>
      </c>
    </row>
    <row r="314" spans="1:7" x14ac:dyDescent="0.35">
      <c r="A314" s="1">
        <v>0.52083333333333337</v>
      </c>
      <c r="B314">
        <v>5</v>
      </c>
      <c r="C314">
        <v>5</v>
      </c>
      <c r="D314">
        <v>36</v>
      </c>
      <c r="E314" t="s">
        <v>13</v>
      </c>
      <c r="F314" t="s">
        <v>7</v>
      </c>
      <c r="G314" t="s">
        <v>10</v>
      </c>
    </row>
    <row r="315" spans="1:7" x14ac:dyDescent="0.35">
      <c r="A315" s="1">
        <v>0.54166666666666663</v>
      </c>
      <c r="B315">
        <v>9</v>
      </c>
      <c r="C315">
        <v>5</v>
      </c>
      <c r="D315">
        <v>40</v>
      </c>
      <c r="E315" t="s">
        <v>13</v>
      </c>
      <c r="F315" t="s">
        <v>7</v>
      </c>
      <c r="G315" t="s">
        <v>10</v>
      </c>
    </row>
    <row r="316" spans="1:7" x14ac:dyDescent="0.35">
      <c r="A316" s="1">
        <v>0.5625</v>
      </c>
      <c r="B316">
        <v>7</v>
      </c>
      <c r="C316">
        <v>12</v>
      </c>
      <c r="D316">
        <v>35</v>
      </c>
      <c r="E316" t="s">
        <v>13</v>
      </c>
      <c r="F316" t="s">
        <v>7</v>
      </c>
      <c r="G316" t="s">
        <v>10</v>
      </c>
    </row>
    <row r="317" spans="1:7" x14ac:dyDescent="0.35">
      <c r="A317" s="1">
        <v>0.58333333333333337</v>
      </c>
      <c r="B317">
        <v>23</v>
      </c>
      <c r="C317">
        <v>4</v>
      </c>
      <c r="D317">
        <v>54</v>
      </c>
      <c r="E317" t="s">
        <v>13</v>
      </c>
      <c r="F317" t="s">
        <v>7</v>
      </c>
      <c r="G317" t="s">
        <v>10</v>
      </c>
    </row>
    <row r="318" spans="1:7" x14ac:dyDescent="0.35">
      <c r="A318" s="1">
        <v>0.60416666666666663</v>
      </c>
      <c r="B318">
        <v>23</v>
      </c>
      <c r="C318">
        <v>5</v>
      </c>
      <c r="D318">
        <v>72</v>
      </c>
      <c r="E318" t="s">
        <v>13</v>
      </c>
      <c r="F318" t="s">
        <v>7</v>
      </c>
      <c r="G318" t="s">
        <v>10</v>
      </c>
    </row>
    <row r="319" spans="1:7" x14ac:dyDescent="0.35">
      <c r="A319" s="1">
        <v>0.625</v>
      </c>
      <c r="B319">
        <v>22</v>
      </c>
      <c r="C319">
        <v>8</v>
      </c>
      <c r="D319">
        <v>86</v>
      </c>
      <c r="E319" t="s">
        <v>13</v>
      </c>
      <c r="F319" t="s">
        <v>7</v>
      </c>
      <c r="G319" t="s">
        <v>10</v>
      </c>
    </row>
    <row r="320" spans="1:7" x14ac:dyDescent="0.35">
      <c r="A320" s="1">
        <v>0.64583333333333337</v>
      </c>
      <c r="B320">
        <v>24</v>
      </c>
      <c r="C320">
        <v>10</v>
      </c>
      <c r="D320">
        <v>100</v>
      </c>
      <c r="E320" t="s">
        <v>13</v>
      </c>
      <c r="F320" t="s">
        <v>7</v>
      </c>
      <c r="G320" t="s">
        <v>10</v>
      </c>
    </row>
    <row r="321" spans="1:7" x14ac:dyDescent="0.35">
      <c r="A321" s="1">
        <v>0.66666666666666663</v>
      </c>
      <c r="B321">
        <v>36</v>
      </c>
      <c r="C321">
        <v>16</v>
      </c>
      <c r="D321">
        <v>120</v>
      </c>
      <c r="E321" t="s">
        <v>13</v>
      </c>
      <c r="F321" t="s">
        <v>7</v>
      </c>
      <c r="G321" t="s">
        <v>10</v>
      </c>
    </row>
    <row r="322" spans="1:7" x14ac:dyDescent="0.35">
      <c r="A322" s="1">
        <v>0.6875</v>
      </c>
      <c r="B322">
        <v>40</v>
      </c>
      <c r="C322">
        <v>16</v>
      </c>
      <c r="D322">
        <v>144</v>
      </c>
      <c r="E322" t="s">
        <v>13</v>
      </c>
      <c r="F322" t="s">
        <v>7</v>
      </c>
      <c r="G322" t="s">
        <v>10</v>
      </c>
    </row>
    <row r="323" spans="1:7" x14ac:dyDescent="0.35">
      <c r="A323" s="1">
        <v>0.70833333333333337</v>
      </c>
      <c r="B323">
        <v>40</v>
      </c>
      <c r="C323">
        <v>13</v>
      </c>
      <c r="D323">
        <v>171</v>
      </c>
      <c r="E323" t="s">
        <v>13</v>
      </c>
      <c r="F323" t="s">
        <v>7</v>
      </c>
      <c r="G323" t="s">
        <v>10</v>
      </c>
    </row>
    <row r="324" spans="1:7" x14ac:dyDescent="0.35">
      <c r="A324" s="1">
        <v>0.72916666666666663</v>
      </c>
      <c r="B324">
        <v>42</v>
      </c>
      <c r="C324">
        <v>30</v>
      </c>
      <c r="D324">
        <v>183</v>
      </c>
      <c r="E324" t="s">
        <v>13</v>
      </c>
      <c r="F324" t="s">
        <v>7</v>
      </c>
      <c r="G324" t="s">
        <v>10</v>
      </c>
    </row>
    <row r="325" spans="1:7" x14ac:dyDescent="0.35">
      <c r="A325" s="1">
        <v>0.75</v>
      </c>
      <c r="B325">
        <v>54</v>
      </c>
      <c r="C325">
        <v>31</v>
      </c>
      <c r="D325">
        <v>206</v>
      </c>
      <c r="E325" t="s">
        <v>13</v>
      </c>
      <c r="F325" t="s">
        <v>7</v>
      </c>
      <c r="G325" t="s">
        <v>10</v>
      </c>
    </row>
    <row r="326" spans="1:7" x14ac:dyDescent="0.35">
      <c r="A326" s="1">
        <v>0.77083333333333337</v>
      </c>
      <c r="B326">
        <v>55</v>
      </c>
      <c r="C326">
        <v>42</v>
      </c>
      <c r="D326">
        <v>219</v>
      </c>
      <c r="E326" t="s">
        <v>13</v>
      </c>
      <c r="F326" t="s">
        <v>7</v>
      </c>
      <c r="G326" t="s">
        <v>10</v>
      </c>
    </row>
    <row r="327" spans="1:7" x14ac:dyDescent="0.35">
      <c r="A327" s="1">
        <v>0.79166666666666663</v>
      </c>
      <c r="B327">
        <v>83</v>
      </c>
      <c r="C327">
        <v>31</v>
      </c>
      <c r="D327">
        <v>271</v>
      </c>
      <c r="E327" t="s">
        <v>13</v>
      </c>
      <c r="F327" t="s">
        <v>7</v>
      </c>
      <c r="G327" t="s">
        <v>10</v>
      </c>
    </row>
    <row r="328" spans="1:7" x14ac:dyDescent="0.35">
      <c r="A328" s="1">
        <v>0.8125</v>
      </c>
      <c r="B328">
        <v>31</v>
      </c>
      <c r="C328">
        <v>50</v>
      </c>
      <c r="D328">
        <v>252</v>
      </c>
      <c r="E328" t="s">
        <v>13</v>
      </c>
      <c r="F328" t="s">
        <v>7</v>
      </c>
      <c r="G328" t="s">
        <v>10</v>
      </c>
    </row>
    <row r="329" spans="1:7" x14ac:dyDescent="0.35">
      <c r="A329" s="1">
        <v>0.83333333333333337</v>
      </c>
      <c r="B329">
        <v>7</v>
      </c>
      <c r="C329">
        <v>60</v>
      </c>
      <c r="D329">
        <v>199</v>
      </c>
      <c r="E329" t="s">
        <v>13</v>
      </c>
      <c r="F329" t="s">
        <v>7</v>
      </c>
      <c r="G329" t="s">
        <v>10</v>
      </c>
    </row>
    <row r="330" spans="1:7" x14ac:dyDescent="0.35">
      <c r="A330" s="1">
        <v>0.85416666666666696</v>
      </c>
      <c r="B330">
        <v>3</v>
      </c>
      <c r="C330">
        <v>180</v>
      </c>
      <c r="D330">
        <v>22</v>
      </c>
      <c r="E330" t="s">
        <v>13</v>
      </c>
      <c r="F330" t="s">
        <v>7</v>
      </c>
      <c r="G330" t="s">
        <v>10</v>
      </c>
    </row>
    <row r="331" spans="1:7" x14ac:dyDescent="0.35">
      <c r="A331" s="1">
        <v>0.875</v>
      </c>
      <c r="B331">
        <v>0</v>
      </c>
      <c r="C331">
        <v>18</v>
      </c>
      <c r="D331">
        <v>4</v>
      </c>
      <c r="E331" t="s">
        <v>13</v>
      </c>
      <c r="F331" t="s">
        <v>7</v>
      </c>
      <c r="G331" t="s">
        <v>10</v>
      </c>
    </row>
    <row r="332" spans="1:7" x14ac:dyDescent="0.35">
      <c r="A332" s="1">
        <v>0.89583333333333304</v>
      </c>
      <c r="B332">
        <v>0</v>
      </c>
      <c r="C332">
        <v>4</v>
      </c>
      <c r="D332">
        <v>0</v>
      </c>
      <c r="E332" t="s">
        <v>13</v>
      </c>
      <c r="F332" t="s">
        <v>7</v>
      </c>
      <c r="G332" t="s">
        <v>10</v>
      </c>
    </row>
    <row r="333" spans="1:7" x14ac:dyDescent="0.35">
      <c r="A333" s="1">
        <v>0.91666666666666696</v>
      </c>
      <c r="B333">
        <v>0</v>
      </c>
      <c r="C333">
        <v>0</v>
      </c>
      <c r="D333">
        <v>0</v>
      </c>
      <c r="E333" t="s">
        <v>13</v>
      </c>
      <c r="F333" t="s">
        <v>7</v>
      </c>
      <c r="G333" t="s">
        <v>10</v>
      </c>
    </row>
    <row r="334" spans="1:7" x14ac:dyDescent="0.35">
      <c r="A334" s="1">
        <v>0.9375</v>
      </c>
      <c r="B334">
        <v>0</v>
      </c>
      <c r="C334">
        <v>0</v>
      </c>
      <c r="D334">
        <v>0</v>
      </c>
      <c r="E334" t="s">
        <v>13</v>
      </c>
      <c r="F334" t="s">
        <v>7</v>
      </c>
      <c r="G334" t="s">
        <v>10</v>
      </c>
    </row>
    <row r="335" spans="1:7" x14ac:dyDescent="0.35">
      <c r="A335" s="1">
        <v>0.95833333333333404</v>
      </c>
      <c r="B335">
        <v>0</v>
      </c>
      <c r="C335">
        <v>0</v>
      </c>
      <c r="D335">
        <v>0</v>
      </c>
      <c r="E335" t="s">
        <v>13</v>
      </c>
      <c r="F335" t="s">
        <v>7</v>
      </c>
      <c r="G335" t="s">
        <v>10</v>
      </c>
    </row>
    <row r="336" spans="1:7" x14ac:dyDescent="0.35">
      <c r="A336" s="1">
        <v>0.97916666666666696</v>
      </c>
      <c r="B336">
        <v>0</v>
      </c>
      <c r="C336">
        <v>0</v>
      </c>
      <c r="D336">
        <v>0</v>
      </c>
      <c r="E336" t="s">
        <v>13</v>
      </c>
      <c r="F336" t="s">
        <v>7</v>
      </c>
      <c r="G336" t="s">
        <v>10</v>
      </c>
    </row>
    <row r="337" spans="1:7" x14ac:dyDescent="0.35">
      <c r="A337" s="1">
        <v>1</v>
      </c>
      <c r="B337">
        <v>0</v>
      </c>
      <c r="C337">
        <v>0</v>
      </c>
      <c r="D337">
        <v>0</v>
      </c>
      <c r="E337" t="s">
        <v>13</v>
      </c>
      <c r="F337" t="s">
        <v>7</v>
      </c>
      <c r="G337" t="s">
        <v>10</v>
      </c>
    </row>
    <row r="338" spans="1:7" x14ac:dyDescent="0.35">
      <c r="A338" s="1">
        <v>1.0208333333333399</v>
      </c>
      <c r="B338">
        <v>0</v>
      </c>
      <c r="C338">
        <v>0</v>
      </c>
      <c r="D338">
        <v>0</v>
      </c>
      <c r="E338" t="s">
        <v>13</v>
      </c>
      <c r="F338" t="s">
        <v>7</v>
      </c>
      <c r="G338" t="s">
        <v>10</v>
      </c>
    </row>
    <row r="339" spans="1:7" x14ac:dyDescent="0.35">
      <c r="A339" s="1">
        <v>1.0416666666666701</v>
      </c>
      <c r="B339">
        <v>0</v>
      </c>
      <c r="C339">
        <v>0</v>
      </c>
      <c r="D339">
        <v>0</v>
      </c>
      <c r="E339" t="s">
        <v>13</v>
      </c>
      <c r="F339" t="s">
        <v>7</v>
      </c>
      <c r="G339" t="s">
        <v>10</v>
      </c>
    </row>
    <row r="340" spans="1:7" x14ac:dyDescent="0.35">
      <c r="A340" s="1">
        <v>1.0625</v>
      </c>
      <c r="B340">
        <v>0</v>
      </c>
      <c r="C340">
        <v>0</v>
      </c>
      <c r="D340">
        <v>0</v>
      </c>
      <c r="E340" t="s">
        <v>13</v>
      </c>
      <c r="F340" t="s">
        <v>7</v>
      </c>
      <c r="G340" t="s">
        <v>10</v>
      </c>
    </row>
    <row r="341" spans="1:7" x14ac:dyDescent="0.35">
      <c r="A341" s="1">
        <v>1.0833333333333399</v>
      </c>
      <c r="B341">
        <v>0</v>
      </c>
      <c r="C341">
        <v>0</v>
      </c>
      <c r="D341">
        <v>0</v>
      </c>
      <c r="E341" t="s">
        <v>13</v>
      </c>
      <c r="F341" t="s">
        <v>7</v>
      </c>
      <c r="G341" t="s">
        <v>10</v>
      </c>
    </row>
    <row r="342" spans="1:7" x14ac:dyDescent="0.35">
      <c r="A342" s="1">
        <v>1.1041666666666701</v>
      </c>
      <c r="B342">
        <v>0</v>
      </c>
      <c r="C342">
        <v>0</v>
      </c>
      <c r="D342">
        <v>0</v>
      </c>
      <c r="E342" t="s">
        <v>13</v>
      </c>
      <c r="F342" t="s">
        <v>7</v>
      </c>
      <c r="G342" t="s">
        <v>10</v>
      </c>
    </row>
    <row r="343" spans="1:7" x14ac:dyDescent="0.35">
      <c r="A343" s="1">
        <v>1.12500000000001</v>
      </c>
      <c r="B343">
        <v>0</v>
      </c>
      <c r="C343">
        <v>0</v>
      </c>
      <c r="D343">
        <v>0</v>
      </c>
      <c r="E343" t="s">
        <v>13</v>
      </c>
      <c r="F343" t="s">
        <v>7</v>
      </c>
      <c r="G343" t="s">
        <v>10</v>
      </c>
    </row>
    <row r="344" spans="1:7" x14ac:dyDescent="0.35">
      <c r="A344" s="1">
        <v>1.1458333333333399</v>
      </c>
      <c r="B344">
        <v>0</v>
      </c>
      <c r="C344">
        <v>0</v>
      </c>
      <c r="D344">
        <v>0</v>
      </c>
      <c r="E344" t="s">
        <v>13</v>
      </c>
      <c r="F344" t="s">
        <v>7</v>
      </c>
      <c r="G344" t="s">
        <v>10</v>
      </c>
    </row>
    <row r="345" spans="1:7" x14ac:dyDescent="0.35">
      <c r="A345" s="1">
        <v>1.1666666666666701</v>
      </c>
      <c r="B345">
        <v>0</v>
      </c>
      <c r="C345">
        <v>0</v>
      </c>
      <c r="D345">
        <v>0</v>
      </c>
      <c r="E345" t="s">
        <v>13</v>
      </c>
      <c r="F345" t="s">
        <v>7</v>
      </c>
      <c r="G345" t="s">
        <v>10</v>
      </c>
    </row>
    <row r="346" spans="1:7" x14ac:dyDescent="0.35">
      <c r="A346" s="2">
        <v>0.29166666666666669</v>
      </c>
      <c r="B346">
        <v>47</v>
      </c>
      <c r="C346">
        <v>0</v>
      </c>
      <c r="D346">
        <v>47</v>
      </c>
      <c r="E346" t="s">
        <v>13</v>
      </c>
      <c r="F346" t="s">
        <v>11</v>
      </c>
      <c r="G346" t="s">
        <v>9</v>
      </c>
    </row>
    <row r="347" spans="1:7" x14ac:dyDescent="0.35">
      <c r="A347" s="1">
        <v>0.3125</v>
      </c>
      <c r="B347">
        <v>4</v>
      </c>
      <c r="C347">
        <v>8</v>
      </c>
      <c r="D347">
        <v>43</v>
      </c>
      <c r="E347" t="s">
        <v>13</v>
      </c>
      <c r="F347" t="s">
        <v>11</v>
      </c>
      <c r="G347" t="s">
        <v>9</v>
      </c>
    </row>
    <row r="348" spans="1:7" x14ac:dyDescent="0.35">
      <c r="A348" s="1">
        <v>0.33333333333333331</v>
      </c>
      <c r="B348">
        <v>20</v>
      </c>
      <c r="C348">
        <v>3</v>
      </c>
      <c r="D348">
        <v>60</v>
      </c>
      <c r="E348" t="s">
        <v>13</v>
      </c>
      <c r="F348" t="s">
        <v>11</v>
      </c>
      <c r="G348" t="s">
        <v>9</v>
      </c>
    </row>
    <row r="349" spans="1:7" x14ac:dyDescent="0.35">
      <c r="A349" s="1">
        <v>0.35416666666666669</v>
      </c>
      <c r="B349">
        <v>22</v>
      </c>
      <c r="C349">
        <v>17</v>
      </c>
      <c r="D349">
        <v>65</v>
      </c>
      <c r="E349" t="s">
        <v>13</v>
      </c>
      <c r="F349" t="s">
        <v>11</v>
      </c>
      <c r="G349" t="s">
        <v>9</v>
      </c>
    </row>
    <row r="350" spans="1:7" x14ac:dyDescent="0.35">
      <c r="A350" s="1">
        <v>0.375</v>
      </c>
      <c r="B350">
        <v>22</v>
      </c>
      <c r="C350">
        <v>19</v>
      </c>
      <c r="D350">
        <v>68</v>
      </c>
      <c r="E350" t="s">
        <v>13</v>
      </c>
      <c r="F350" t="s">
        <v>11</v>
      </c>
      <c r="G350" t="s">
        <v>9</v>
      </c>
    </row>
    <row r="351" spans="1:7" x14ac:dyDescent="0.35">
      <c r="A351" s="1">
        <v>0.39583333333333331</v>
      </c>
      <c r="B351">
        <v>46</v>
      </c>
      <c r="C351">
        <v>16</v>
      </c>
      <c r="D351">
        <v>98</v>
      </c>
      <c r="E351" t="s">
        <v>13</v>
      </c>
      <c r="F351" t="s">
        <v>11</v>
      </c>
      <c r="G351" t="s">
        <v>9</v>
      </c>
    </row>
    <row r="352" spans="1:7" x14ac:dyDescent="0.35">
      <c r="A352" s="1">
        <v>0.41666666666666669</v>
      </c>
      <c r="B352">
        <v>36</v>
      </c>
      <c r="C352">
        <v>27</v>
      </c>
      <c r="D352">
        <v>107</v>
      </c>
      <c r="E352" t="s">
        <v>13</v>
      </c>
      <c r="F352" t="s">
        <v>11</v>
      </c>
      <c r="G352" t="s">
        <v>9</v>
      </c>
    </row>
    <row r="353" spans="1:7" x14ac:dyDescent="0.35">
      <c r="A353" s="1">
        <v>0.4375</v>
      </c>
      <c r="B353">
        <v>24</v>
      </c>
      <c r="C353">
        <v>27</v>
      </c>
      <c r="D353">
        <v>104</v>
      </c>
      <c r="E353" t="s">
        <v>13</v>
      </c>
      <c r="F353" t="s">
        <v>11</v>
      </c>
      <c r="G353" t="s">
        <v>9</v>
      </c>
    </row>
    <row r="354" spans="1:7" x14ac:dyDescent="0.35">
      <c r="A354" s="1">
        <v>0.45833333333333331</v>
      </c>
      <c r="B354">
        <v>33</v>
      </c>
      <c r="C354">
        <v>17</v>
      </c>
      <c r="D354">
        <v>120</v>
      </c>
      <c r="E354" t="s">
        <v>13</v>
      </c>
      <c r="F354" t="s">
        <v>11</v>
      </c>
      <c r="G354" t="s">
        <v>9</v>
      </c>
    </row>
    <row r="355" spans="1:7" x14ac:dyDescent="0.35">
      <c r="A355" s="1">
        <v>0.47916666666666669</v>
      </c>
      <c r="B355">
        <v>30</v>
      </c>
      <c r="C355">
        <v>27</v>
      </c>
      <c r="D355">
        <v>123</v>
      </c>
      <c r="E355" t="s">
        <v>13</v>
      </c>
      <c r="F355" t="s">
        <v>11</v>
      </c>
      <c r="G355" t="s">
        <v>9</v>
      </c>
    </row>
    <row r="356" spans="1:7" x14ac:dyDescent="0.35">
      <c r="A356" s="1">
        <v>0.5</v>
      </c>
      <c r="B356">
        <v>44</v>
      </c>
      <c r="C356">
        <v>45</v>
      </c>
      <c r="D356">
        <v>122</v>
      </c>
      <c r="E356" t="s">
        <v>13</v>
      </c>
      <c r="F356" t="s">
        <v>11</v>
      </c>
      <c r="G356" t="s">
        <v>9</v>
      </c>
    </row>
    <row r="357" spans="1:7" x14ac:dyDescent="0.35">
      <c r="A357" s="1">
        <v>0.52083333333333337</v>
      </c>
      <c r="B357">
        <v>41</v>
      </c>
      <c r="C357">
        <v>41</v>
      </c>
      <c r="D357">
        <v>122</v>
      </c>
      <c r="E357" t="s">
        <v>13</v>
      </c>
      <c r="F357" t="s">
        <v>11</v>
      </c>
      <c r="G357" t="s">
        <v>9</v>
      </c>
    </row>
    <row r="358" spans="1:7" x14ac:dyDescent="0.35">
      <c r="A358" s="1">
        <v>0.54166666666666663</v>
      </c>
      <c r="B358">
        <v>23</v>
      </c>
      <c r="C358">
        <v>49</v>
      </c>
      <c r="D358">
        <v>96</v>
      </c>
      <c r="E358" t="s">
        <v>13</v>
      </c>
      <c r="F358" t="s">
        <v>11</v>
      </c>
      <c r="G358" t="s">
        <v>9</v>
      </c>
    </row>
    <row r="359" spans="1:7" x14ac:dyDescent="0.35">
      <c r="A359" s="1">
        <v>0.5625</v>
      </c>
      <c r="B359">
        <v>27</v>
      </c>
      <c r="C359">
        <v>49</v>
      </c>
      <c r="D359">
        <v>74</v>
      </c>
      <c r="E359" t="s">
        <v>13</v>
      </c>
      <c r="F359" t="s">
        <v>11</v>
      </c>
      <c r="G359" t="s">
        <v>9</v>
      </c>
    </row>
    <row r="360" spans="1:7" x14ac:dyDescent="0.35">
      <c r="A360" s="1">
        <v>0.58333333333333337</v>
      </c>
      <c r="B360">
        <v>124</v>
      </c>
      <c r="C360">
        <v>8</v>
      </c>
      <c r="D360">
        <v>190</v>
      </c>
      <c r="E360" t="s">
        <v>13</v>
      </c>
      <c r="F360" t="s">
        <v>11</v>
      </c>
      <c r="G360" t="s">
        <v>9</v>
      </c>
    </row>
    <row r="361" spans="1:7" x14ac:dyDescent="0.35">
      <c r="A361" s="1">
        <v>0.60416666666666663</v>
      </c>
      <c r="B361">
        <v>57</v>
      </c>
      <c r="C361">
        <v>71</v>
      </c>
      <c r="D361">
        <v>176</v>
      </c>
      <c r="E361" t="s">
        <v>13</v>
      </c>
      <c r="F361" t="s">
        <v>11</v>
      </c>
      <c r="G361" t="s">
        <v>9</v>
      </c>
    </row>
    <row r="362" spans="1:7" x14ac:dyDescent="0.35">
      <c r="A362" s="1">
        <v>0.625</v>
      </c>
      <c r="B362">
        <v>62</v>
      </c>
      <c r="C362">
        <v>40</v>
      </c>
      <c r="D362">
        <v>198</v>
      </c>
      <c r="E362" t="s">
        <v>13</v>
      </c>
      <c r="F362" t="s">
        <v>11</v>
      </c>
      <c r="G362" t="s">
        <v>9</v>
      </c>
    </row>
    <row r="363" spans="1:7" x14ac:dyDescent="0.35">
      <c r="A363" s="1">
        <v>0.64583333333333337</v>
      </c>
      <c r="B363">
        <v>44</v>
      </c>
      <c r="C363">
        <v>66</v>
      </c>
      <c r="D363">
        <v>176</v>
      </c>
      <c r="E363" t="s">
        <v>13</v>
      </c>
      <c r="F363" t="s">
        <v>11</v>
      </c>
      <c r="G363" t="s">
        <v>9</v>
      </c>
    </row>
    <row r="364" spans="1:7" x14ac:dyDescent="0.35">
      <c r="A364" s="1">
        <v>0.66666666666666663</v>
      </c>
      <c r="B364">
        <v>76</v>
      </c>
      <c r="C364">
        <v>46</v>
      </c>
      <c r="D364">
        <v>206</v>
      </c>
      <c r="E364" t="s">
        <v>13</v>
      </c>
      <c r="F364" t="s">
        <v>11</v>
      </c>
      <c r="G364" t="s">
        <v>9</v>
      </c>
    </row>
    <row r="365" spans="1:7" x14ac:dyDescent="0.35">
      <c r="A365" s="1">
        <v>0.6875</v>
      </c>
      <c r="B365">
        <v>78</v>
      </c>
      <c r="C365">
        <v>67</v>
      </c>
      <c r="D365">
        <v>217</v>
      </c>
      <c r="E365" t="s">
        <v>13</v>
      </c>
      <c r="F365" t="s">
        <v>11</v>
      </c>
      <c r="G365" t="s">
        <v>9</v>
      </c>
    </row>
    <row r="366" spans="1:7" x14ac:dyDescent="0.35">
      <c r="A366" s="1">
        <v>0.70833333333333337</v>
      </c>
      <c r="B366">
        <v>43</v>
      </c>
      <c r="C366">
        <v>39</v>
      </c>
      <c r="D366">
        <v>221</v>
      </c>
      <c r="E366" t="s">
        <v>13</v>
      </c>
      <c r="F366" t="s">
        <v>11</v>
      </c>
      <c r="G366" t="s">
        <v>9</v>
      </c>
    </row>
    <row r="367" spans="1:7" x14ac:dyDescent="0.35">
      <c r="A367" s="1">
        <v>0.72916666666666663</v>
      </c>
      <c r="B367">
        <v>46</v>
      </c>
      <c r="C367">
        <v>60</v>
      </c>
      <c r="D367">
        <v>207</v>
      </c>
      <c r="E367" t="s">
        <v>13</v>
      </c>
      <c r="F367" t="s">
        <v>11</v>
      </c>
      <c r="G367" t="s">
        <v>9</v>
      </c>
    </row>
    <row r="368" spans="1:7" x14ac:dyDescent="0.35">
      <c r="A368" s="1">
        <v>0.75</v>
      </c>
      <c r="B368">
        <v>60</v>
      </c>
      <c r="C368">
        <v>34</v>
      </c>
      <c r="D368">
        <v>233</v>
      </c>
      <c r="E368" t="s">
        <v>13</v>
      </c>
      <c r="F368" t="s">
        <v>11</v>
      </c>
      <c r="G368" t="s">
        <v>9</v>
      </c>
    </row>
    <row r="369" spans="1:7" x14ac:dyDescent="0.35">
      <c r="A369" s="1">
        <v>0.77083333333333337</v>
      </c>
      <c r="B369">
        <v>87</v>
      </c>
      <c r="C369">
        <v>67</v>
      </c>
      <c r="D369">
        <v>253</v>
      </c>
      <c r="E369" t="s">
        <v>13</v>
      </c>
      <c r="F369" t="s">
        <v>11</v>
      </c>
      <c r="G369" t="s">
        <v>9</v>
      </c>
    </row>
    <row r="370" spans="1:7" x14ac:dyDescent="0.35">
      <c r="A370" s="1">
        <v>0.79166666666666663</v>
      </c>
      <c r="B370">
        <v>82</v>
      </c>
      <c r="C370">
        <v>33</v>
      </c>
      <c r="D370">
        <v>302</v>
      </c>
      <c r="E370" t="s">
        <v>13</v>
      </c>
      <c r="F370" t="s">
        <v>11</v>
      </c>
      <c r="G370" t="s">
        <v>9</v>
      </c>
    </row>
    <row r="371" spans="1:7" x14ac:dyDescent="0.35">
      <c r="A371" s="1">
        <v>0.8125</v>
      </c>
      <c r="B371">
        <v>88</v>
      </c>
      <c r="C371">
        <v>89</v>
      </c>
      <c r="D371">
        <v>301</v>
      </c>
      <c r="E371" t="s">
        <v>13</v>
      </c>
      <c r="F371" t="s">
        <v>11</v>
      </c>
      <c r="G371" t="s">
        <v>9</v>
      </c>
    </row>
    <row r="372" spans="1:7" x14ac:dyDescent="0.35">
      <c r="A372" s="1">
        <v>0.83333333333333337</v>
      </c>
      <c r="B372">
        <v>81</v>
      </c>
      <c r="C372">
        <v>30</v>
      </c>
      <c r="D372">
        <v>352</v>
      </c>
      <c r="E372" t="s">
        <v>13</v>
      </c>
      <c r="F372" t="s">
        <v>11</v>
      </c>
      <c r="G372" t="s">
        <v>9</v>
      </c>
    </row>
    <row r="373" spans="1:7" x14ac:dyDescent="0.35">
      <c r="A373" s="1">
        <v>0.85416666666666696</v>
      </c>
      <c r="B373">
        <v>70</v>
      </c>
      <c r="C373">
        <v>138</v>
      </c>
      <c r="D373">
        <v>284</v>
      </c>
      <c r="E373" t="s">
        <v>13</v>
      </c>
      <c r="F373" t="s">
        <v>11</v>
      </c>
      <c r="G373" t="s">
        <v>9</v>
      </c>
    </row>
    <row r="374" spans="1:7" x14ac:dyDescent="0.35">
      <c r="A374" s="1">
        <v>0.875</v>
      </c>
      <c r="B374">
        <v>35</v>
      </c>
      <c r="C374">
        <v>41</v>
      </c>
      <c r="D374">
        <v>278</v>
      </c>
      <c r="E374" t="s">
        <v>13</v>
      </c>
      <c r="F374" t="s">
        <v>11</v>
      </c>
      <c r="G374" t="s">
        <v>9</v>
      </c>
    </row>
    <row r="375" spans="1:7" x14ac:dyDescent="0.35">
      <c r="A375" s="1">
        <v>0.89583333333333304</v>
      </c>
      <c r="B375">
        <v>47</v>
      </c>
      <c r="C375">
        <v>77</v>
      </c>
      <c r="D375">
        <v>248</v>
      </c>
      <c r="E375" t="s">
        <v>13</v>
      </c>
      <c r="F375" t="s">
        <v>11</v>
      </c>
      <c r="G375" t="s">
        <v>9</v>
      </c>
    </row>
    <row r="376" spans="1:7" x14ac:dyDescent="0.35">
      <c r="A376" s="1">
        <v>0.91666666666666696</v>
      </c>
      <c r="B376">
        <v>37</v>
      </c>
      <c r="C376">
        <v>40</v>
      </c>
      <c r="D376">
        <v>245</v>
      </c>
      <c r="E376" t="s">
        <v>13</v>
      </c>
      <c r="F376" t="s">
        <v>11</v>
      </c>
      <c r="G376" t="s">
        <v>9</v>
      </c>
    </row>
    <row r="377" spans="1:7" x14ac:dyDescent="0.35">
      <c r="A377" s="1">
        <v>0.9375</v>
      </c>
      <c r="B377">
        <v>34</v>
      </c>
      <c r="C377">
        <v>66</v>
      </c>
      <c r="D377">
        <v>213</v>
      </c>
      <c r="E377" t="s">
        <v>13</v>
      </c>
      <c r="F377" t="s">
        <v>11</v>
      </c>
      <c r="G377" t="s">
        <v>9</v>
      </c>
    </row>
    <row r="378" spans="1:7" x14ac:dyDescent="0.35">
      <c r="A378" s="1">
        <v>0.95833333333333404</v>
      </c>
      <c r="B378">
        <v>17</v>
      </c>
      <c r="C378">
        <v>64</v>
      </c>
      <c r="D378">
        <v>166</v>
      </c>
      <c r="E378" t="s">
        <v>13</v>
      </c>
      <c r="F378" t="s">
        <v>11</v>
      </c>
      <c r="G378" t="s">
        <v>9</v>
      </c>
    </row>
    <row r="379" spans="1:7" x14ac:dyDescent="0.35">
      <c r="A379" s="1">
        <v>0.97916666666666696</v>
      </c>
      <c r="B379">
        <v>14</v>
      </c>
      <c r="C379">
        <v>34</v>
      </c>
      <c r="D379">
        <v>146</v>
      </c>
      <c r="E379" t="s">
        <v>13</v>
      </c>
      <c r="F379" t="s">
        <v>11</v>
      </c>
      <c r="G379" t="s">
        <v>9</v>
      </c>
    </row>
    <row r="380" spans="1:7" x14ac:dyDescent="0.35">
      <c r="A380" s="1">
        <v>1</v>
      </c>
      <c r="B380">
        <v>8</v>
      </c>
      <c r="C380">
        <v>33</v>
      </c>
      <c r="D380">
        <v>121</v>
      </c>
      <c r="E380" t="s">
        <v>13</v>
      </c>
      <c r="F380" t="s">
        <v>11</v>
      </c>
      <c r="G380" t="s">
        <v>9</v>
      </c>
    </row>
    <row r="381" spans="1:7" x14ac:dyDescent="0.35">
      <c r="A381" s="1">
        <v>1.0208333333333399</v>
      </c>
      <c r="B381">
        <v>4</v>
      </c>
      <c r="C381">
        <v>49</v>
      </c>
      <c r="D381">
        <v>76</v>
      </c>
      <c r="E381" t="s">
        <v>13</v>
      </c>
      <c r="F381" t="s">
        <v>11</v>
      </c>
      <c r="G381" t="s">
        <v>9</v>
      </c>
    </row>
    <row r="382" spans="1:7" x14ac:dyDescent="0.35">
      <c r="A382" s="1">
        <v>1.0416666666666701</v>
      </c>
      <c r="B382">
        <v>0</v>
      </c>
      <c r="C382">
        <v>53</v>
      </c>
      <c r="D382">
        <v>23</v>
      </c>
      <c r="E382" t="s">
        <v>13</v>
      </c>
      <c r="F382" t="s">
        <v>11</v>
      </c>
      <c r="G382" t="s">
        <v>9</v>
      </c>
    </row>
    <row r="383" spans="1:7" x14ac:dyDescent="0.35">
      <c r="A383" s="1">
        <v>1.0625</v>
      </c>
      <c r="B383">
        <v>0</v>
      </c>
      <c r="C383">
        <v>23</v>
      </c>
      <c r="D383">
        <v>0</v>
      </c>
      <c r="E383" t="s">
        <v>13</v>
      </c>
      <c r="F383" t="s">
        <v>11</v>
      </c>
      <c r="G383" t="s">
        <v>9</v>
      </c>
    </row>
    <row r="384" spans="1:7" x14ac:dyDescent="0.35">
      <c r="A384" s="1">
        <v>1.0833333333333399</v>
      </c>
      <c r="B384">
        <v>0</v>
      </c>
      <c r="C384">
        <v>0</v>
      </c>
      <c r="D384">
        <v>0</v>
      </c>
      <c r="E384" t="s">
        <v>13</v>
      </c>
      <c r="F384" t="s">
        <v>11</v>
      </c>
      <c r="G384" t="s">
        <v>9</v>
      </c>
    </row>
    <row r="385" spans="1:7" x14ac:dyDescent="0.35">
      <c r="A385" s="1">
        <v>1.1041666666666701</v>
      </c>
      <c r="B385">
        <v>0</v>
      </c>
      <c r="C385">
        <v>0</v>
      </c>
      <c r="D385">
        <v>0</v>
      </c>
      <c r="E385" t="s">
        <v>13</v>
      </c>
      <c r="F385" t="s">
        <v>11</v>
      </c>
      <c r="G385" t="s">
        <v>9</v>
      </c>
    </row>
    <row r="386" spans="1:7" x14ac:dyDescent="0.35">
      <c r="A386" s="1">
        <v>1.12500000000001</v>
      </c>
      <c r="B386">
        <v>0</v>
      </c>
      <c r="C386">
        <v>0</v>
      </c>
      <c r="D386">
        <v>0</v>
      </c>
      <c r="E386" t="s">
        <v>13</v>
      </c>
      <c r="F386" t="s">
        <v>11</v>
      </c>
      <c r="G386" t="s">
        <v>9</v>
      </c>
    </row>
    <row r="387" spans="1:7" x14ac:dyDescent="0.35">
      <c r="A387" s="1">
        <v>1.1458333333333399</v>
      </c>
      <c r="B387">
        <v>0</v>
      </c>
      <c r="C387">
        <v>0</v>
      </c>
      <c r="D387">
        <v>0</v>
      </c>
      <c r="E387" t="s">
        <v>13</v>
      </c>
      <c r="F387" t="s">
        <v>11</v>
      </c>
      <c r="G387" t="s">
        <v>9</v>
      </c>
    </row>
    <row r="388" spans="1:7" x14ac:dyDescent="0.35">
      <c r="A388" s="1">
        <v>1.1666666666666701</v>
      </c>
      <c r="B388">
        <v>0</v>
      </c>
      <c r="C388">
        <v>0</v>
      </c>
      <c r="D388">
        <v>0</v>
      </c>
      <c r="E388" t="s">
        <v>13</v>
      </c>
      <c r="F388" t="s">
        <v>11</v>
      </c>
      <c r="G388" t="s">
        <v>9</v>
      </c>
    </row>
    <row r="389" spans="1:7" x14ac:dyDescent="0.35">
      <c r="A389" s="2">
        <v>0.29166666666666669</v>
      </c>
      <c r="B389">
        <v>4</v>
      </c>
      <c r="C389">
        <v>0</v>
      </c>
      <c r="D389">
        <v>4</v>
      </c>
      <c r="E389" t="s">
        <v>13</v>
      </c>
      <c r="F389" t="s">
        <v>11</v>
      </c>
      <c r="G389" t="s">
        <v>10</v>
      </c>
    </row>
    <row r="390" spans="1:7" x14ac:dyDescent="0.35">
      <c r="A390" s="1">
        <v>0.3125</v>
      </c>
      <c r="B390">
        <v>8</v>
      </c>
      <c r="C390">
        <v>1</v>
      </c>
      <c r="D390">
        <v>11</v>
      </c>
      <c r="E390" t="s">
        <v>13</v>
      </c>
      <c r="F390" t="s">
        <v>11</v>
      </c>
      <c r="G390" t="s">
        <v>10</v>
      </c>
    </row>
    <row r="391" spans="1:7" x14ac:dyDescent="0.35">
      <c r="A391" s="1">
        <v>0.33333333333333331</v>
      </c>
      <c r="B391">
        <v>4</v>
      </c>
      <c r="C391">
        <v>2</v>
      </c>
      <c r="D391">
        <v>13</v>
      </c>
      <c r="E391" t="s">
        <v>13</v>
      </c>
      <c r="F391" t="s">
        <v>11</v>
      </c>
      <c r="G391" t="s">
        <v>10</v>
      </c>
    </row>
    <row r="392" spans="1:7" x14ac:dyDescent="0.35">
      <c r="A392" s="1">
        <v>0.35416666666666669</v>
      </c>
      <c r="B392">
        <v>11</v>
      </c>
      <c r="C392">
        <v>3</v>
      </c>
      <c r="D392">
        <v>21</v>
      </c>
      <c r="E392" t="s">
        <v>13</v>
      </c>
      <c r="F392" t="s">
        <v>11</v>
      </c>
      <c r="G392" t="s">
        <v>10</v>
      </c>
    </row>
    <row r="393" spans="1:7" x14ac:dyDescent="0.35">
      <c r="A393" s="1">
        <v>0.375</v>
      </c>
      <c r="B393">
        <v>9</v>
      </c>
      <c r="C393">
        <v>3</v>
      </c>
      <c r="D393">
        <v>27</v>
      </c>
      <c r="E393" t="s">
        <v>13</v>
      </c>
      <c r="F393" t="s">
        <v>11</v>
      </c>
      <c r="G393" t="s">
        <v>10</v>
      </c>
    </row>
    <row r="394" spans="1:7" x14ac:dyDescent="0.35">
      <c r="A394" s="1">
        <v>0.39583333333333331</v>
      </c>
      <c r="B394">
        <v>8</v>
      </c>
      <c r="C394">
        <v>5</v>
      </c>
      <c r="D394">
        <v>30</v>
      </c>
      <c r="E394" t="s">
        <v>13</v>
      </c>
      <c r="F394" t="s">
        <v>11</v>
      </c>
      <c r="G394" t="s">
        <v>10</v>
      </c>
    </row>
    <row r="395" spans="1:7" x14ac:dyDescent="0.35">
      <c r="A395" s="1">
        <v>0.41666666666666669</v>
      </c>
      <c r="B395">
        <v>13</v>
      </c>
      <c r="C395">
        <v>4</v>
      </c>
      <c r="D395">
        <v>39</v>
      </c>
      <c r="E395" t="s">
        <v>13</v>
      </c>
      <c r="F395" t="s">
        <v>11</v>
      </c>
      <c r="G395" t="s">
        <v>10</v>
      </c>
    </row>
    <row r="396" spans="1:7" x14ac:dyDescent="0.35">
      <c r="A396" s="1">
        <v>0.4375</v>
      </c>
      <c r="B396">
        <v>13</v>
      </c>
      <c r="C396">
        <v>5</v>
      </c>
      <c r="D396">
        <v>47</v>
      </c>
      <c r="E396" t="s">
        <v>13</v>
      </c>
      <c r="F396" t="s">
        <v>11</v>
      </c>
      <c r="G396" t="s">
        <v>10</v>
      </c>
    </row>
    <row r="397" spans="1:7" x14ac:dyDescent="0.35">
      <c r="A397" s="1">
        <v>0.45833333333333331</v>
      </c>
      <c r="B397">
        <v>16</v>
      </c>
      <c r="C397">
        <v>10</v>
      </c>
      <c r="D397">
        <v>53</v>
      </c>
      <c r="E397" t="s">
        <v>13</v>
      </c>
      <c r="F397" t="s">
        <v>11</v>
      </c>
      <c r="G397" t="s">
        <v>10</v>
      </c>
    </row>
    <row r="398" spans="1:7" x14ac:dyDescent="0.35">
      <c r="A398" s="1">
        <v>0.47916666666666669</v>
      </c>
      <c r="B398">
        <v>7</v>
      </c>
      <c r="C398">
        <v>13</v>
      </c>
      <c r="D398">
        <v>47</v>
      </c>
      <c r="E398" t="s">
        <v>13</v>
      </c>
      <c r="F398" t="s">
        <v>11</v>
      </c>
      <c r="G398" t="s">
        <v>10</v>
      </c>
    </row>
    <row r="399" spans="1:7" x14ac:dyDescent="0.35">
      <c r="A399" s="1">
        <v>0.5</v>
      </c>
      <c r="B399">
        <v>23</v>
      </c>
      <c r="C399">
        <v>9</v>
      </c>
      <c r="D399">
        <v>61</v>
      </c>
      <c r="E399" t="s">
        <v>13</v>
      </c>
      <c r="F399" t="s">
        <v>11</v>
      </c>
      <c r="G399" t="s">
        <v>10</v>
      </c>
    </row>
    <row r="400" spans="1:7" x14ac:dyDescent="0.35">
      <c r="A400" s="1">
        <v>0.52083333333333337</v>
      </c>
      <c r="B400">
        <v>6</v>
      </c>
      <c r="C400">
        <v>12</v>
      </c>
      <c r="D400">
        <v>55</v>
      </c>
      <c r="E400" t="s">
        <v>13</v>
      </c>
      <c r="F400" t="s">
        <v>11</v>
      </c>
      <c r="G400" t="s">
        <v>10</v>
      </c>
    </row>
    <row r="401" spans="1:7" x14ac:dyDescent="0.35">
      <c r="A401" s="1">
        <v>0.54166666666666663</v>
      </c>
      <c r="B401">
        <v>14</v>
      </c>
      <c r="C401">
        <v>23</v>
      </c>
      <c r="D401">
        <v>46</v>
      </c>
      <c r="E401" t="s">
        <v>13</v>
      </c>
      <c r="F401" t="s">
        <v>11</v>
      </c>
      <c r="G401" t="s">
        <v>10</v>
      </c>
    </row>
    <row r="402" spans="1:7" x14ac:dyDescent="0.35">
      <c r="A402" s="1">
        <v>0.5625</v>
      </c>
      <c r="B402">
        <v>4</v>
      </c>
      <c r="C402">
        <v>35</v>
      </c>
      <c r="D402">
        <v>15</v>
      </c>
      <c r="E402" t="s">
        <v>13</v>
      </c>
      <c r="F402" t="s">
        <v>11</v>
      </c>
      <c r="G402" t="s">
        <v>10</v>
      </c>
    </row>
    <row r="403" spans="1:7" x14ac:dyDescent="0.35">
      <c r="A403" s="1">
        <v>0.58333333333333337</v>
      </c>
      <c r="B403">
        <v>52</v>
      </c>
      <c r="C403">
        <v>4</v>
      </c>
      <c r="D403">
        <v>63</v>
      </c>
      <c r="E403" t="s">
        <v>13</v>
      </c>
      <c r="F403" t="s">
        <v>11</v>
      </c>
      <c r="G403" t="s">
        <v>10</v>
      </c>
    </row>
    <row r="404" spans="1:7" x14ac:dyDescent="0.35">
      <c r="A404" s="1">
        <v>0.60416666666666663</v>
      </c>
      <c r="B404">
        <v>19</v>
      </c>
      <c r="C404">
        <v>9</v>
      </c>
      <c r="D404">
        <v>73</v>
      </c>
      <c r="E404" t="s">
        <v>13</v>
      </c>
      <c r="F404" t="s">
        <v>11</v>
      </c>
      <c r="G404" t="s">
        <v>10</v>
      </c>
    </row>
    <row r="405" spans="1:7" x14ac:dyDescent="0.35">
      <c r="A405" s="1">
        <v>0.625</v>
      </c>
      <c r="B405">
        <v>25</v>
      </c>
      <c r="C405">
        <v>11</v>
      </c>
      <c r="D405">
        <v>87</v>
      </c>
      <c r="E405" t="s">
        <v>13</v>
      </c>
      <c r="F405" t="s">
        <v>11</v>
      </c>
      <c r="G405" t="s">
        <v>10</v>
      </c>
    </row>
    <row r="406" spans="1:7" x14ac:dyDescent="0.35">
      <c r="A406" s="1">
        <v>0.64583333333333337</v>
      </c>
      <c r="B406">
        <v>15</v>
      </c>
      <c r="C406">
        <v>18</v>
      </c>
      <c r="D406">
        <v>84</v>
      </c>
      <c r="E406" t="s">
        <v>13</v>
      </c>
      <c r="F406" t="s">
        <v>11</v>
      </c>
      <c r="G406" t="s">
        <v>10</v>
      </c>
    </row>
    <row r="407" spans="1:7" x14ac:dyDescent="0.35">
      <c r="A407" s="1">
        <v>0.66666666666666663</v>
      </c>
      <c r="B407">
        <v>53</v>
      </c>
      <c r="C407">
        <v>23</v>
      </c>
      <c r="D407">
        <v>114</v>
      </c>
      <c r="E407" t="s">
        <v>13</v>
      </c>
      <c r="F407" t="s">
        <v>11</v>
      </c>
      <c r="G407" t="s">
        <v>10</v>
      </c>
    </row>
    <row r="408" spans="1:7" x14ac:dyDescent="0.35">
      <c r="A408" s="1">
        <v>0.6875</v>
      </c>
      <c r="B408">
        <v>44</v>
      </c>
      <c r="C408">
        <v>21</v>
      </c>
      <c r="D408">
        <v>137</v>
      </c>
      <c r="E408" t="s">
        <v>13</v>
      </c>
      <c r="F408" t="s">
        <v>11</v>
      </c>
      <c r="G408" t="s">
        <v>10</v>
      </c>
    </row>
    <row r="409" spans="1:7" x14ac:dyDescent="0.35">
      <c r="A409" s="1">
        <v>0.70833333333333337</v>
      </c>
      <c r="B409">
        <v>33</v>
      </c>
      <c r="C409">
        <v>14</v>
      </c>
      <c r="D409">
        <v>156</v>
      </c>
      <c r="E409" t="s">
        <v>13</v>
      </c>
      <c r="F409" t="s">
        <v>11</v>
      </c>
      <c r="G409" t="s">
        <v>10</v>
      </c>
    </row>
    <row r="410" spans="1:7" x14ac:dyDescent="0.35">
      <c r="A410" s="1">
        <v>0.72916666666666663</v>
      </c>
      <c r="B410">
        <v>23</v>
      </c>
      <c r="C410">
        <v>34</v>
      </c>
      <c r="D410">
        <v>145</v>
      </c>
      <c r="E410" t="s">
        <v>13</v>
      </c>
      <c r="F410" t="s">
        <v>11</v>
      </c>
      <c r="G410" t="s">
        <v>10</v>
      </c>
    </row>
    <row r="411" spans="1:7" x14ac:dyDescent="0.35">
      <c r="A411" s="1">
        <v>0.75</v>
      </c>
      <c r="B411">
        <v>46</v>
      </c>
      <c r="C411">
        <v>28</v>
      </c>
      <c r="D411">
        <v>163</v>
      </c>
      <c r="E411" t="s">
        <v>13</v>
      </c>
      <c r="F411" t="s">
        <v>11</v>
      </c>
      <c r="G411" t="s">
        <v>10</v>
      </c>
    </row>
    <row r="412" spans="1:7" x14ac:dyDescent="0.35">
      <c r="A412" s="1">
        <v>0.77083333333333337</v>
      </c>
      <c r="B412">
        <v>52</v>
      </c>
      <c r="C412">
        <v>34</v>
      </c>
      <c r="D412">
        <v>181</v>
      </c>
      <c r="E412" t="s">
        <v>13</v>
      </c>
      <c r="F412" t="s">
        <v>11</v>
      </c>
      <c r="G412" t="s">
        <v>10</v>
      </c>
    </row>
    <row r="413" spans="1:7" x14ac:dyDescent="0.35">
      <c r="A413" s="1">
        <v>0.79166666666666663</v>
      </c>
      <c r="B413">
        <v>46</v>
      </c>
      <c r="C413">
        <v>17</v>
      </c>
      <c r="D413">
        <v>210</v>
      </c>
      <c r="E413" t="s">
        <v>13</v>
      </c>
      <c r="F413" t="s">
        <v>11</v>
      </c>
      <c r="G413" t="s">
        <v>10</v>
      </c>
    </row>
    <row r="414" spans="1:7" x14ac:dyDescent="0.35">
      <c r="A414" s="1">
        <v>0.8125</v>
      </c>
      <c r="B414">
        <v>77</v>
      </c>
      <c r="C414">
        <v>49</v>
      </c>
      <c r="D414">
        <v>238</v>
      </c>
      <c r="E414" t="s">
        <v>13</v>
      </c>
      <c r="F414" t="s">
        <v>11</v>
      </c>
      <c r="G414" t="s">
        <v>10</v>
      </c>
    </row>
    <row r="415" spans="1:7" x14ac:dyDescent="0.35">
      <c r="A415" s="1">
        <v>0.83333333333333337</v>
      </c>
      <c r="B415">
        <v>64</v>
      </c>
      <c r="C415">
        <v>46</v>
      </c>
      <c r="D415">
        <v>256</v>
      </c>
      <c r="E415" t="s">
        <v>13</v>
      </c>
      <c r="F415" t="s">
        <v>11</v>
      </c>
      <c r="G415" t="s">
        <v>10</v>
      </c>
    </row>
    <row r="416" spans="1:7" x14ac:dyDescent="0.35">
      <c r="A416" s="1">
        <v>0.85416666666666696</v>
      </c>
      <c r="B416">
        <v>42</v>
      </c>
      <c r="C416">
        <v>97</v>
      </c>
      <c r="D416">
        <v>201</v>
      </c>
      <c r="E416" t="s">
        <v>13</v>
      </c>
      <c r="F416" t="s">
        <v>11</v>
      </c>
      <c r="G416" t="s">
        <v>10</v>
      </c>
    </row>
    <row r="417" spans="1:7" x14ac:dyDescent="0.35">
      <c r="A417" s="1">
        <v>0.875</v>
      </c>
      <c r="B417">
        <v>119</v>
      </c>
      <c r="C417">
        <v>28</v>
      </c>
      <c r="D417">
        <v>292</v>
      </c>
      <c r="E417" t="s">
        <v>13</v>
      </c>
      <c r="F417" t="s">
        <v>11</v>
      </c>
      <c r="G417" t="s">
        <v>10</v>
      </c>
    </row>
    <row r="418" spans="1:7" x14ac:dyDescent="0.35">
      <c r="A418" s="1">
        <v>0.89583333333333304</v>
      </c>
      <c r="B418">
        <v>22</v>
      </c>
      <c r="C418">
        <v>89</v>
      </c>
      <c r="D418">
        <v>225</v>
      </c>
      <c r="E418" t="s">
        <v>13</v>
      </c>
      <c r="F418" t="s">
        <v>11</v>
      </c>
      <c r="G418" t="s">
        <v>10</v>
      </c>
    </row>
    <row r="419" spans="1:7" x14ac:dyDescent="0.35">
      <c r="A419" s="1">
        <v>0.91666666666666696</v>
      </c>
      <c r="B419">
        <v>29</v>
      </c>
      <c r="C419">
        <v>77</v>
      </c>
      <c r="D419">
        <v>177</v>
      </c>
      <c r="E419" t="s">
        <v>13</v>
      </c>
      <c r="F419" t="s">
        <v>11</v>
      </c>
      <c r="G419" t="s">
        <v>10</v>
      </c>
    </row>
    <row r="420" spans="1:7" x14ac:dyDescent="0.35">
      <c r="A420" s="1">
        <v>0.9375</v>
      </c>
      <c r="B420">
        <v>40</v>
      </c>
      <c r="C420">
        <v>53</v>
      </c>
      <c r="D420">
        <v>164</v>
      </c>
      <c r="E420" t="s">
        <v>13</v>
      </c>
      <c r="F420" t="s">
        <v>11</v>
      </c>
      <c r="G420" t="s">
        <v>10</v>
      </c>
    </row>
    <row r="421" spans="1:7" x14ac:dyDescent="0.35">
      <c r="A421" s="1">
        <v>0.95833333333333404</v>
      </c>
      <c r="B421">
        <v>22</v>
      </c>
      <c r="C421">
        <v>51</v>
      </c>
      <c r="D421">
        <v>135</v>
      </c>
      <c r="E421" t="s">
        <v>13</v>
      </c>
      <c r="F421" t="s">
        <v>11</v>
      </c>
      <c r="G421" t="s">
        <v>10</v>
      </c>
    </row>
    <row r="422" spans="1:7" x14ac:dyDescent="0.35">
      <c r="A422" s="1">
        <v>0.97916666666666696</v>
      </c>
      <c r="B422">
        <v>33</v>
      </c>
      <c r="C422">
        <v>56</v>
      </c>
      <c r="D422">
        <v>112</v>
      </c>
      <c r="E422" t="s">
        <v>13</v>
      </c>
      <c r="F422" t="s">
        <v>11</v>
      </c>
      <c r="G422" t="s">
        <v>10</v>
      </c>
    </row>
    <row r="423" spans="1:7" x14ac:dyDescent="0.35">
      <c r="A423" s="1">
        <v>1</v>
      </c>
      <c r="B423">
        <v>33</v>
      </c>
      <c r="C423">
        <v>35</v>
      </c>
      <c r="D423">
        <v>110</v>
      </c>
      <c r="E423" t="s">
        <v>13</v>
      </c>
      <c r="F423" t="s">
        <v>11</v>
      </c>
      <c r="G423" t="s">
        <v>10</v>
      </c>
    </row>
    <row r="424" spans="1:7" x14ac:dyDescent="0.35">
      <c r="A424" s="1">
        <v>1.0208333333333399</v>
      </c>
      <c r="B424">
        <v>13</v>
      </c>
      <c r="C424">
        <v>62</v>
      </c>
      <c r="D424">
        <v>61</v>
      </c>
      <c r="E424" t="s">
        <v>13</v>
      </c>
      <c r="F424" t="s">
        <v>11</v>
      </c>
      <c r="G424" t="s">
        <v>10</v>
      </c>
    </row>
    <row r="425" spans="1:7" x14ac:dyDescent="0.35">
      <c r="A425" s="1">
        <v>1.0416666666666701</v>
      </c>
      <c r="B425">
        <v>0</v>
      </c>
      <c r="C425">
        <v>53</v>
      </c>
      <c r="D425">
        <v>8</v>
      </c>
      <c r="E425" t="s">
        <v>13</v>
      </c>
      <c r="F425" t="s">
        <v>11</v>
      </c>
      <c r="G425" t="s">
        <v>10</v>
      </c>
    </row>
    <row r="426" spans="1:7" x14ac:dyDescent="0.35">
      <c r="A426" s="1">
        <v>1.0625</v>
      </c>
      <c r="B426">
        <v>0</v>
      </c>
      <c r="C426">
        <v>8</v>
      </c>
      <c r="D426">
        <v>0</v>
      </c>
      <c r="E426" t="s">
        <v>13</v>
      </c>
      <c r="F426" t="s">
        <v>11</v>
      </c>
      <c r="G426" t="s">
        <v>10</v>
      </c>
    </row>
    <row r="427" spans="1:7" x14ac:dyDescent="0.35">
      <c r="A427" s="1">
        <v>1.0833333333333399</v>
      </c>
      <c r="B427">
        <v>0</v>
      </c>
      <c r="C427">
        <v>0</v>
      </c>
      <c r="D427">
        <v>0</v>
      </c>
      <c r="E427" t="s">
        <v>13</v>
      </c>
      <c r="F427" t="s">
        <v>11</v>
      </c>
      <c r="G427" t="s">
        <v>10</v>
      </c>
    </row>
    <row r="428" spans="1:7" x14ac:dyDescent="0.35">
      <c r="A428" s="1">
        <v>1.1041666666666701</v>
      </c>
      <c r="B428">
        <v>0</v>
      </c>
      <c r="C428">
        <v>0</v>
      </c>
      <c r="D428">
        <v>0</v>
      </c>
      <c r="E428" t="s">
        <v>13</v>
      </c>
      <c r="F428" t="s">
        <v>11</v>
      </c>
      <c r="G428" t="s">
        <v>10</v>
      </c>
    </row>
    <row r="429" spans="1:7" x14ac:dyDescent="0.35">
      <c r="A429" s="1">
        <v>1.12500000000001</v>
      </c>
      <c r="B429">
        <v>0</v>
      </c>
      <c r="C429">
        <v>0</v>
      </c>
      <c r="D429">
        <v>0</v>
      </c>
      <c r="E429" t="s">
        <v>13</v>
      </c>
      <c r="F429" t="s">
        <v>11</v>
      </c>
      <c r="G429" t="s">
        <v>10</v>
      </c>
    </row>
    <row r="430" spans="1:7" x14ac:dyDescent="0.35">
      <c r="A430" s="1">
        <v>1.1458333333333399</v>
      </c>
      <c r="B430">
        <v>0</v>
      </c>
      <c r="C430">
        <v>0</v>
      </c>
      <c r="D430">
        <v>0</v>
      </c>
      <c r="E430" t="s">
        <v>13</v>
      </c>
      <c r="F430" t="s">
        <v>11</v>
      </c>
      <c r="G430" t="s">
        <v>10</v>
      </c>
    </row>
    <row r="431" spans="1:7" x14ac:dyDescent="0.35">
      <c r="A431" s="1">
        <v>1.1666666666666701</v>
      </c>
      <c r="B431">
        <v>0</v>
      </c>
      <c r="C431">
        <v>0</v>
      </c>
      <c r="D431">
        <v>0</v>
      </c>
      <c r="E431" t="s">
        <v>13</v>
      </c>
      <c r="F431" t="s">
        <v>11</v>
      </c>
      <c r="G431" t="s">
        <v>10</v>
      </c>
    </row>
    <row r="432" spans="1:7" x14ac:dyDescent="0.35">
      <c r="A432" s="2">
        <v>0.29166666666666669</v>
      </c>
      <c r="B432">
        <v>58</v>
      </c>
      <c r="C432">
        <v>0</v>
      </c>
      <c r="D432">
        <v>58</v>
      </c>
      <c r="E432" t="s">
        <v>13</v>
      </c>
      <c r="F432" t="s">
        <v>12</v>
      </c>
      <c r="G432" t="s">
        <v>9</v>
      </c>
    </row>
    <row r="433" spans="1:7" x14ac:dyDescent="0.35">
      <c r="A433" s="1">
        <v>0.3125</v>
      </c>
      <c r="B433">
        <v>15</v>
      </c>
      <c r="C433">
        <v>9</v>
      </c>
      <c r="D433">
        <v>64</v>
      </c>
      <c r="E433" t="s">
        <v>13</v>
      </c>
      <c r="F433" t="s">
        <v>12</v>
      </c>
      <c r="G433" t="s">
        <v>9</v>
      </c>
    </row>
    <row r="434" spans="1:7" x14ac:dyDescent="0.35">
      <c r="A434" s="1">
        <v>0.33333333333333331</v>
      </c>
      <c r="B434">
        <v>23</v>
      </c>
      <c r="C434">
        <v>14</v>
      </c>
      <c r="D434">
        <v>73</v>
      </c>
      <c r="E434" t="s">
        <v>13</v>
      </c>
      <c r="F434" t="s">
        <v>12</v>
      </c>
      <c r="G434" t="s">
        <v>9</v>
      </c>
    </row>
    <row r="435" spans="1:7" x14ac:dyDescent="0.35">
      <c r="A435" s="1">
        <v>0.35416666666666669</v>
      </c>
      <c r="B435">
        <v>32</v>
      </c>
      <c r="C435">
        <v>11</v>
      </c>
      <c r="D435">
        <v>94</v>
      </c>
      <c r="E435" t="s">
        <v>13</v>
      </c>
      <c r="F435" t="s">
        <v>12</v>
      </c>
      <c r="G435" t="s">
        <v>9</v>
      </c>
    </row>
    <row r="436" spans="1:7" x14ac:dyDescent="0.35">
      <c r="A436" s="1">
        <v>0.375</v>
      </c>
      <c r="B436">
        <v>28</v>
      </c>
      <c r="C436">
        <v>19</v>
      </c>
      <c r="D436">
        <v>103</v>
      </c>
      <c r="E436" t="s">
        <v>13</v>
      </c>
      <c r="F436" t="s">
        <v>12</v>
      </c>
      <c r="G436" t="s">
        <v>9</v>
      </c>
    </row>
    <row r="437" spans="1:7" x14ac:dyDescent="0.35">
      <c r="A437" s="1">
        <v>0.39583333333333331</v>
      </c>
      <c r="B437">
        <v>35</v>
      </c>
      <c r="C437">
        <v>26</v>
      </c>
      <c r="D437">
        <v>112</v>
      </c>
      <c r="E437" t="s">
        <v>13</v>
      </c>
      <c r="F437" t="s">
        <v>12</v>
      </c>
      <c r="G437" t="s">
        <v>9</v>
      </c>
    </row>
    <row r="438" spans="1:7" x14ac:dyDescent="0.35">
      <c r="A438" s="1">
        <v>0.41666666666666669</v>
      </c>
      <c r="B438">
        <v>27</v>
      </c>
      <c r="C438">
        <v>22</v>
      </c>
      <c r="D438">
        <v>117</v>
      </c>
      <c r="E438" t="s">
        <v>13</v>
      </c>
      <c r="F438" t="s">
        <v>12</v>
      </c>
      <c r="G438" t="s">
        <v>9</v>
      </c>
    </row>
    <row r="439" spans="1:7" x14ac:dyDescent="0.35">
      <c r="A439" s="1">
        <v>0.4375</v>
      </c>
      <c r="B439">
        <v>25</v>
      </c>
      <c r="C439">
        <v>24</v>
      </c>
      <c r="D439">
        <v>118</v>
      </c>
      <c r="E439" t="s">
        <v>13</v>
      </c>
      <c r="F439" t="s">
        <v>12</v>
      </c>
      <c r="G439" t="s">
        <v>9</v>
      </c>
    </row>
    <row r="440" spans="1:7" x14ac:dyDescent="0.35">
      <c r="A440" s="1">
        <v>0.45833333333333331</v>
      </c>
      <c r="B440">
        <v>35</v>
      </c>
      <c r="C440">
        <v>25</v>
      </c>
      <c r="D440">
        <v>128</v>
      </c>
      <c r="E440" t="s">
        <v>13</v>
      </c>
      <c r="F440" t="s">
        <v>12</v>
      </c>
      <c r="G440" t="s">
        <v>9</v>
      </c>
    </row>
    <row r="441" spans="1:7" x14ac:dyDescent="0.35">
      <c r="A441" s="1">
        <v>0.47916666666666669</v>
      </c>
      <c r="B441">
        <v>22</v>
      </c>
      <c r="C441">
        <v>31</v>
      </c>
      <c r="D441">
        <v>119</v>
      </c>
      <c r="E441" t="s">
        <v>13</v>
      </c>
      <c r="F441" t="s">
        <v>12</v>
      </c>
      <c r="G441" t="s">
        <v>9</v>
      </c>
    </row>
    <row r="442" spans="1:7" x14ac:dyDescent="0.35">
      <c r="A442" s="1">
        <v>0.5</v>
      </c>
      <c r="B442">
        <v>28</v>
      </c>
      <c r="C442">
        <v>17</v>
      </c>
      <c r="D442">
        <v>130</v>
      </c>
      <c r="E442" t="s">
        <v>13</v>
      </c>
      <c r="F442" t="s">
        <v>12</v>
      </c>
      <c r="G442" t="s">
        <v>9</v>
      </c>
    </row>
    <row r="443" spans="1:7" x14ac:dyDescent="0.35">
      <c r="A443" s="1">
        <v>0.52083333333333337</v>
      </c>
      <c r="B443">
        <v>42</v>
      </c>
      <c r="C443">
        <v>35</v>
      </c>
      <c r="D443">
        <v>137</v>
      </c>
      <c r="E443" t="s">
        <v>13</v>
      </c>
      <c r="F443" t="s">
        <v>12</v>
      </c>
      <c r="G443" t="s">
        <v>9</v>
      </c>
    </row>
    <row r="444" spans="1:7" x14ac:dyDescent="0.35">
      <c r="A444" s="1">
        <v>0.54166666666666663</v>
      </c>
      <c r="B444">
        <v>28</v>
      </c>
      <c r="C444">
        <v>30</v>
      </c>
      <c r="D444">
        <v>135</v>
      </c>
      <c r="E444" t="s">
        <v>13</v>
      </c>
      <c r="F444" t="s">
        <v>12</v>
      </c>
      <c r="G444" t="s">
        <v>9</v>
      </c>
    </row>
    <row r="445" spans="1:7" x14ac:dyDescent="0.35">
      <c r="A445" s="1">
        <v>0.5625</v>
      </c>
      <c r="B445">
        <v>15</v>
      </c>
      <c r="C445">
        <v>70</v>
      </c>
      <c r="D445">
        <v>80</v>
      </c>
      <c r="E445" t="s">
        <v>13</v>
      </c>
      <c r="F445" t="s">
        <v>12</v>
      </c>
      <c r="G445" t="s">
        <v>9</v>
      </c>
    </row>
    <row r="446" spans="1:7" x14ac:dyDescent="0.35">
      <c r="A446" s="1">
        <v>0.58333333333333337</v>
      </c>
      <c r="B446">
        <v>85</v>
      </c>
      <c r="C446">
        <v>13</v>
      </c>
      <c r="D446">
        <v>152</v>
      </c>
      <c r="E446" t="s">
        <v>13</v>
      </c>
      <c r="F446" t="s">
        <v>12</v>
      </c>
      <c r="G446" t="s">
        <v>9</v>
      </c>
    </row>
    <row r="447" spans="1:7" x14ac:dyDescent="0.35">
      <c r="A447" s="1">
        <v>0.60416666666666663</v>
      </c>
      <c r="B447">
        <v>33</v>
      </c>
      <c r="C447">
        <v>52</v>
      </c>
      <c r="D447">
        <v>133</v>
      </c>
      <c r="E447" t="s">
        <v>13</v>
      </c>
      <c r="F447" t="s">
        <v>12</v>
      </c>
      <c r="G447" t="s">
        <v>9</v>
      </c>
    </row>
    <row r="448" spans="1:7" x14ac:dyDescent="0.35">
      <c r="A448" s="1">
        <v>0.625</v>
      </c>
      <c r="B448">
        <v>28</v>
      </c>
      <c r="C448">
        <v>47</v>
      </c>
      <c r="D448">
        <v>114</v>
      </c>
      <c r="E448" t="s">
        <v>13</v>
      </c>
      <c r="F448" t="s">
        <v>12</v>
      </c>
      <c r="G448" t="s">
        <v>9</v>
      </c>
    </row>
    <row r="449" spans="1:7" x14ac:dyDescent="0.35">
      <c r="A449" s="1">
        <v>0.64583333333333337</v>
      </c>
      <c r="B449">
        <v>33</v>
      </c>
      <c r="C449">
        <v>24</v>
      </c>
      <c r="D449">
        <v>123</v>
      </c>
      <c r="E449" t="s">
        <v>13</v>
      </c>
      <c r="F449" t="s">
        <v>12</v>
      </c>
      <c r="G449" t="s">
        <v>9</v>
      </c>
    </row>
    <row r="450" spans="1:7" x14ac:dyDescent="0.35">
      <c r="A450" s="1">
        <v>0.66666666666666663</v>
      </c>
      <c r="B450">
        <v>73</v>
      </c>
      <c r="C450">
        <v>28</v>
      </c>
      <c r="D450">
        <v>168</v>
      </c>
      <c r="E450" t="s">
        <v>13</v>
      </c>
      <c r="F450" t="s">
        <v>12</v>
      </c>
      <c r="G450" t="s">
        <v>9</v>
      </c>
    </row>
    <row r="451" spans="1:7" x14ac:dyDescent="0.35">
      <c r="A451" s="1">
        <v>0.6875</v>
      </c>
      <c r="B451">
        <v>33</v>
      </c>
      <c r="C451">
        <v>49</v>
      </c>
      <c r="D451">
        <v>152</v>
      </c>
      <c r="E451" t="s">
        <v>13</v>
      </c>
      <c r="F451" t="s">
        <v>12</v>
      </c>
      <c r="G451" t="s">
        <v>9</v>
      </c>
    </row>
    <row r="452" spans="1:7" x14ac:dyDescent="0.35">
      <c r="A452" s="1">
        <v>0.70833333333333337</v>
      </c>
      <c r="B452">
        <v>37</v>
      </c>
      <c r="C452">
        <v>16</v>
      </c>
      <c r="D452">
        <v>173</v>
      </c>
      <c r="E452" t="s">
        <v>13</v>
      </c>
      <c r="F452" t="s">
        <v>12</v>
      </c>
      <c r="G452" t="s">
        <v>9</v>
      </c>
    </row>
    <row r="453" spans="1:7" x14ac:dyDescent="0.35">
      <c r="A453" s="1">
        <v>0.72916666666666663</v>
      </c>
      <c r="B453">
        <v>42</v>
      </c>
      <c r="C453">
        <v>51</v>
      </c>
      <c r="D453">
        <v>164</v>
      </c>
      <c r="E453" t="s">
        <v>13</v>
      </c>
      <c r="F453" t="s">
        <v>12</v>
      </c>
      <c r="G453" t="s">
        <v>9</v>
      </c>
    </row>
    <row r="454" spans="1:7" x14ac:dyDescent="0.35">
      <c r="A454" s="1">
        <v>0.75</v>
      </c>
      <c r="B454">
        <v>45</v>
      </c>
      <c r="C454">
        <v>26</v>
      </c>
      <c r="D454">
        <v>183</v>
      </c>
      <c r="E454" t="s">
        <v>13</v>
      </c>
      <c r="F454" t="s">
        <v>12</v>
      </c>
      <c r="G454" t="s">
        <v>9</v>
      </c>
    </row>
    <row r="455" spans="1:7" x14ac:dyDescent="0.35">
      <c r="A455" s="1">
        <v>0.77083333333333337</v>
      </c>
      <c r="B455">
        <v>40</v>
      </c>
      <c r="C455">
        <v>50</v>
      </c>
      <c r="D455">
        <v>173</v>
      </c>
      <c r="E455" t="s">
        <v>13</v>
      </c>
      <c r="F455" t="s">
        <v>12</v>
      </c>
      <c r="G455" t="s">
        <v>9</v>
      </c>
    </row>
    <row r="456" spans="1:7" x14ac:dyDescent="0.35">
      <c r="A456" s="1">
        <v>0.79166666666666663</v>
      </c>
      <c r="B456">
        <v>71</v>
      </c>
      <c r="C456">
        <v>27</v>
      </c>
      <c r="D456">
        <v>217</v>
      </c>
      <c r="E456" t="s">
        <v>13</v>
      </c>
      <c r="F456" t="s">
        <v>12</v>
      </c>
      <c r="G456" t="s">
        <v>9</v>
      </c>
    </row>
    <row r="457" spans="1:7" x14ac:dyDescent="0.35">
      <c r="A457" s="1">
        <v>0.8125</v>
      </c>
      <c r="B457">
        <v>49</v>
      </c>
      <c r="C457">
        <v>58</v>
      </c>
      <c r="D457">
        <v>208</v>
      </c>
      <c r="E457" t="s">
        <v>13</v>
      </c>
      <c r="F457" t="s">
        <v>12</v>
      </c>
      <c r="G457" t="s">
        <v>9</v>
      </c>
    </row>
    <row r="458" spans="1:7" x14ac:dyDescent="0.35">
      <c r="A458" s="1">
        <v>0.83333333333333337</v>
      </c>
      <c r="B458">
        <v>75</v>
      </c>
      <c r="C458">
        <v>36</v>
      </c>
      <c r="D458">
        <v>247</v>
      </c>
      <c r="E458" t="s">
        <v>13</v>
      </c>
      <c r="F458" t="s">
        <v>12</v>
      </c>
      <c r="G458" t="s">
        <v>9</v>
      </c>
    </row>
    <row r="459" spans="1:7" x14ac:dyDescent="0.35">
      <c r="A459" s="1">
        <v>0.85416666666666696</v>
      </c>
      <c r="B459">
        <v>43</v>
      </c>
      <c r="C459">
        <v>57</v>
      </c>
      <c r="D459">
        <v>233</v>
      </c>
      <c r="E459" t="s">
        <v>13</v>
      </c>
      <c r="F459" t="s">
        <v>12</v>
      </c>
      <c r="G459" t="s">
        <v>9</v>
      </c>
    </row>
    <row r="460" spans="1:7" x14ac:dyDescent="0.35">
      <c r="A460" s="1">
        <v>0.875</v>
      </c>
      <c r="B460">
        <v>33</v>
      </c>
      <c r="C460">
        <v>29</v>
      </c>
      <c r="D460">
        <v>237</v>
      </c>
      <c r="E460" t="s">
        <v>13</v>
      </c>
      <c r="F460" t="s">
        <v>12</v>
      </c>
      <c r="G460" t="s">
        <v>9</v>
      </c>
    </row>
    <row r="461" spans="1:7" x14ac:dyDescent="0.35">
      <c r="A461" s="1">
        <v>0.89583333333333304</v>
      </c>
      <c r="B461">
        <v>20</v>
      </c>
      <c r="C461">
        <v>71</v>
      </c>
      <c r="D461">
        <v>186</v>
      </c>
      <c r="E461" t="s">
        <v>13</v>
      </c>
      <c r="F461" t="s">
        <v>12</v>
      </c>
      <c r="G461" t="s">
        <v>9</v>
      </c>
    </row>
    <row r="462" spans="1:7" x14ac:dyDescent="0.35">
      <c r="A462" s="1">
        <v>0.91666666666666696</v>
      </c>
      <c r="B462">
        <v>19</v>
      </c>
      <c r="C462">
        <v>46</v>
      </c>
      <c r="D462">
        <v>159</v>
      </c>
      <c r="E462" t="s">
        <v>13</v>
      </c>
      <c r="F462" t="s">
        <v>12</v>
      </c>
      <c r="G462" t="s">
        <v>9</v>
      </c>
    </row>
    <row r="463" spans="1:7" x14ac:dyDescent="0.35">
      <c r="A463" s="1">
        <v>0.9375</v>
      </c>
      <c r="B463">
        <v>3</v>
      </c>
      <c r="C463">
        <v>60</v>
      </c>
      <c r="D463">
        <v>102</v>
      </c>
      <c r="E463" t="s">
        <v>13</v>
      </c>
      <c r="F463" t="s">
        <v>12</v>
      </c>
      <c r="G463" t="s">
        <v>9</v>
      </c>
    </row>
    <row r="464" spans="1:7" x14ac:dyDescent="0.35">
      <c r="A464" s="1">
        <v>0.95833333333333404</v>
      </c>
      <c r="B464">
        <v>3</v>
      </c>
      <c r="C464">
        <v>28</v>
      </c>
      <c r="D464">
        <v>77</v>
      </c>
      <c r="E464" t="s">
        <v>13</v>
      </c>
      <c r="F464" t="s">
        <v>12</v>
      </c>
      <c r="G464" t="s">
        <v>9</v>
      </c>
    </row>
    <row r="465" spans="1:7" x14ac:dyDescent="0.35">
      <c r="A465" s="1">
        <v>0.97916666666666696</v>
      </c>
      <c r="B465">
        <v>0</v>
      </c>
      <c r="C465">
        <v>32</v>
      </c>
      <c r="D465">
        <v>45</v>
      </c>
      <c r="E465" t="s">
        <v>13</v>
      </c>
      <c r="F465" t="s">
        <v>12</v>
      </c>
      <c r="G465" t="s">
        <v>9</v>
      </c>
    </row>
    <row r="466" spans="1:7" x14ac:dyDescent="0.35">
      <c r="A466" s="1">
        <v>1</v>
      </c>
      <c r="B466">
        <v>0</v>
      </c>
      <c r="C466">
        <v>30</v>
      </c>
      <c r="D466">
        <v>15</v>
      </c>
      <c r="E466" t="s">
        <v>13</v>
      </c>
      <c r="F466" t="s">
        <v>12</v>
      </c>
      <c r="G466" t="s">
        <v>9</v>
      </c>
    </row>
    <row r="467" spans="1:7" x14ac:dyDescent="0.35">
      <c r="A467" s="1">
        <v>1.0208333333333399</v>
      </c>
      <c r="B467">
        <v>0</v>
      </c>
      <c r="C467">
        <v>15</v>
      </c>
      <c r="D467">
        <v>0</v>
      </c>
      <c r="E467" t="s">
        <v>13</v>
      </c>
      <c r="F467" t="s">
        <v>12</v>
      </c>
      <c r="G467" t="s">
        <v>9</v>
      </c>
    </row>
    <row r="468" spans="1:7" x14ac:dyDescent="0.35">
      <c r="A468" s="1">
        <v>1.0416666666666701</v>
      </c>
      <c r="B468">
        <v>0</v>
      </c>
      <c r="C468">
        <v>0</v>
      </c>
      <c r="D468">
        <v>0</v>
      </c>
      <c r="E468" t="s">
        <v>13</v>
      </c>
      <c r="F468" t="s">
        <v>12</v>
      </c>
      <c r="G468" t="s">
        <v>9</v>
      </c>
    </row>
    <row r="469" spans="1:7" x14ac:dyDescent="0.35">
      <c r="A469" s="1">
        <v>1.0625</v>
      </c>
      <c r="B469">
        <v>0</v>
      </c>
      <c r="C469">
        <v>0</v>
      </c>
      <c r="D469">
        <v>0</v>
      </c>
      <c r="E469" t="s">
        <v>13</v>
      </c>
      <c r="F469" t="s">
        <v>12</v>
      </c>
      <c r="G469" t="s">
        <v>9</v>
      </c>
    </row>
    <row r="470" spans="1:7" x14ac:dyDescent="0.35">
      <c r="A470" s="1">
        <v>1.0833333333333399</v>
      </c>
      <c r="B470">
        <v>0</v>
      </c>
      <c r="C470">
        <v>0</v>
      </c>
      <c r="D470">
        <v>0</v>
      </c>
      <c r="E470" t="s">
        <v>13</v>
      </c>
      <c r="F470" t="s">
        <v>12</v>
      </c>
      <c r="G470" t="s">
        <v>9</v>
      </c>
    </row>
    <row r="471" spans="1:7" x14ac:dyDescent="0.35">
      <c r="A471" s="1">
        <v>1.1041666666666701</v>
      </c>
      <c r="B471">
        <v>0</v>
      </c>
      <c r="C471">
        <v>0</v>
      </c>
      <c r="D471">
        <v>0</v>
      </c>
      <c r="E471" t="s">
        <v>13</v>
      </c>
      <c r="F471" t="s">
        <v>12</v>
      </c>
      <c r="G471" t="s">
        <v>9</v>
      </c>
    </row>
    <row r="472" spans="1:7" x14ac:dyDescent="0.35">
      <c r="A472" s="1">
        <v>1.12500000000001</v>
      </c>
      <c r="B472">
        <v>0</v>
      </c>
      <c r="C472">
        <v>0</v>
      </c>
      <c r="D472">
        <v>0</v>
      </c>
      <c r="E472" t="s">
        <v>13</v>
      </c>
      <c r="F472" t="s">
        <v>12</v>
      </c>
      <c r="G472" t="s">
        <v>9</v>
      </c>
    </row>
    <row r="473" spans="1:7" x14ac:dyDescent="0.35">
      <c r="A473" s="1">
        <v>1.1458333333333399</v>
      </c>
      <c r="B473">
        <v>0</v>
      </c>
      <c r="C473">
        <v>0</v>
      </c>
      <c r="D473">
        <v>0</v>
      </c>
      <c r="E473" t="s">
        <v>13</v>
      </c>
      <c r="F473" t="s">
        <v>12</v>
      </c>
      <c r="G473" t="s">
        <v>9</v>
      </c>
    </row>
    <row r="474" spans="1:7" x14ac:dyDescent="0.35">
      <c r="A474" s="1">
        <v>1.1666666666666701</v>
      </c>
      <c r="B474">
        <v>0</v>
      </c>
      <c r="C474">
        <v>0</v>
      </c>
      <c r="D474">
        <v>0</v>
      </c>
      <c r="E474" t="s">
        <v>13</v>
      </c>
      <c r="F474" t="s">
        <v>12</v>
      </c>
      <c r="G474" t="s">
        <v>9</v>
      </c>
    </row>
    <row r="475" spans="1:7" x14ac:dyDescent="0.35">
      <c r="A475" s="2">
        <v>0.29166666666666669</v>
      </c>
      <c r="B475">
        <v>14</v>
      </c>
      <c r="C475">
        <v>0</v>
      </c>
      <c r="D475">
        <v>14</v>
      </c>
      <c r="E475" t="s">
        <v>13</v>
      </c>
      <c r="F475" t="s">
        <v>12</v>
      </c>
      <c r="G475" t="s">
        <v>10</v>
      </c>
    </row>
    <row r="476" spans="1:7" x14ac:dyDescent="0.35">
      <c r="A476" s="1">
        <v>0.3125</v>
      </c>
      <c r="B476">
        <v>4</v>
      </c>
      <c r="C476">
        <v>3</v>
      </c>
      <c r="D476">
        <v>15</v>
      </c>
      <c r="E476" t="s">
        <v>13</v>
      </c>
      <c r="F476" t="s">
        <v>12</v>
      </c>
      <c r="G476" t="s">
        <v>10</v>
      </c>
    </row>
    <row r="477" spans="1:7" x14ac:dyDescent="0.35">
      <c r="A477" s="1">
        <v>0.33333333333333331</v>
      </c>
      <c r="B477">
        <v>14</v>
      </c>
      <c r="C477">
        <v>4</v>
      </c>
      <c r="D477">
        <v>25</v>
      </c>
      <c r="E477" t="s">
        <v>13</v>
      </c>
      <c r="F477" t="s">
        <v>12</v>
      </c>
      <c r="G477" t="s">
        <v>10</v>
      </c>
    </row>
    <row r="478" spans="1:7" x14ac:dyDescent="0.35">
      <c r="A478" s="1">
        <v>0.35416666666666669</v>
      </c>
      <c r="B478">
        <v>6</v>
      </c>
      <c r="C478">
        <v>7</v>
      </c>
      <c r="D478">
        <v>24</v>
      </c>
      <c r="E478" t="s">
        <v>13</v>
      </c>
      <c r="F478" t="s">
        <v>12</v>
      </c>
      <c r="G478" t="s">
        <v>10</v>
      </c>
    </row>
    <row r="479" spans="1:7" x14ac:dyDescent="0.35">
      <c r="A479" s="1">
        <v>0.375</v>
      </c>
      <c r="B479">
        <v>10</v>
      </c>
      <c r="C479">
        <v>4</v>
      </c>
      <c r="D479">
        <v>30</v>
      </c>
      <c r="E479" t="s">
        <v>13</v>
      </c>
      <c r="F479" t="s">
        <v>12</v>
      </c>
      <c r="G479" t="s">
        <v>10</v>
      </c>
    </row>
    <row r="480" spans="1:7" x14ac:dyDescent="0.35">
      <c r="A480" s="1">
        <v>0.39583333333333331</v>
      </c>
      <c r="B480">
        <v>14</v>
      </c>
      <c r="C480">
        <v>6</v>
      </c>
      <c r="D480">
        <v>38</v>
      </c>
      <c r="E480" t="s">
        <v>13</v>
      </c>
      <c r="F480" t="s">
        <v>12</v>
      </c>
      <c r="G480" t="s">
        <v>10</v>
      </c>
    </row>
    <row r="481" spans="1:7" x14ac:dyDescent="0.35">
      <c r="A481" s="1">
        <v>0.41666666666666669</v>
      </c>
      <c r="B481">
        <v>10</v>
      </c>
      <c r="C481">
        <v>8</v>
      </c>
      <c r="D481">
        <v>40</v>
      </c>
      <c r="E481" t="s">
        <v>13</v>
      </c>
      <c r="F481" t="s">
        <v>12</v>
      </c>
      <c r="G481" t="s">
        <v>10</v>
      </c>
    </row>
    <row r="482" spans="1:7" x14ac:dyDescent="0.35">
      <c r="A482" s="1">
        <v>0.4375</v>
      </c>
      <c r="B482">
        <v>20</v>
      </c>
      <c r="C482">
        <v>9</v>
      </c>
      <c r="D482">
        <v>51</v>
      </c>
      <c r="E482" t="s">
        <v>13</v>
      </c>
      <c r="F482" t="s">
        <v>12</v>
      </c>
      <c r="G482" t="s">
        <v>10</v>
      </c>
    </row>
    <row r="483" spans="1:7" x14ac:dyDescent="0.35">
      <c r="A483" s="1">
        <v>0.45833333333333331</v>
      </c>
      <c r="B483">
        <v>9</v>
      </c>
      <c r="C483">
        <v>7</v>
      </c>
      <c r="D483">
        <v>53</v>
      </c>
      <c r="E483" t="s">
        <v>13</v>
      </c>
      <c r="F483" t="s">
        <v>12</v>
      </c>
      <c r="G483" t="s">
        <v>10</v>
      </c>
    </row>
    <row r="484" spans="1:7" x14ac:dyDescent="0.35">
      <c r="A484" s="1">
        <v>0.47916666666666669</v>
      </c>
      <c r="B484">
        <v>16</v>
      </c>
      <c r="C484">
        <v>3</v>
      </c>
      <c r="D484">
        <v>66</v>
      </c>
      <c r="E484" t="s">
        <v>13</v>
      </c>
      <c r="F484" t="s">
        <v>12</v>
      </c>
      <c r="G484" t="s">
        <v>10</v>
      </c>
    </row>
    <row r="485" spans="1:7" x14ac:dyDescent="0.35">
      <c r="A485" s="1">
        <v>0.5</v>
      </c>
      <c r="B485">
        <v>7</v>
      </c>
      <c r="C485">
        <v>10</v>
      </c>
      <c r="D485">
        <v>63</v>
      </c>
      <c r="E485" t="s">
        <v>13</v>
      </c>
      <c r="F485" t="s">
        <v>12</v>
      </c>
      <c r="G485" t="s">
        <v>10</v>
      </c>
    </row>
    <row r="486" spans="1:7" x14ac:dyDescent="0.35">
      <c r="A486" s="1">
        <v>0.52083333333333337</v>
      </c>
      <c r="B486">
        <v>10</v>
      </c>
      <c r="C486">
        <v>6</v>
      </c>
      <c r="D486">
        <v>67</v>
      </c>
      <c r="E486" t="s">
        <v>13</v>
      </c>
      <c r="F486" t="s">
        <v>12</v>
      </c>
      <c r="G486" t="s">
        <v>10</v>
      </c>
    </row>
    <row r="487" spans="1:7" x14ac:dyDescent="0.35">
      <c r="A487" s="1">
        <v>0.54166666666666663</v>
      </c>
      <c r="B487">
        <v>11</v>
      </c>
      <c r="C487">
        <v>14</v>
      </c>
      <c r="D487">
        <v>64</v>
      </c>
      <c r="E487" t="s">
        <v>13</v>
      </c>
      <c r="F487" t="s">
        <v>12</v>
      </c>
      <c r="G487" t="s">
        <v>10</v>
      </c>
    </row>
    <row r="488" spans="1:7" x14ac:dyDescent="0.35">
      <c r="A488" s="1">
        <v>0.5625</v>
      </c>
      <c r="B488">
        <v>1</v>
      </c>
      <c r="C488">
        <v>38</v>
      </c>
      <c r="D488">
        <v>27</v>
      </c>
      <c r="E488" t="s">
        <v>13</v>
      </c>
      <c r="F488" t="s">
        <v>12</v>
      </c>
      <c r="G488" t="s">
        <v>10</v>
      </c>
    </row>
    <row r="489" spans="1:7" x14ac:dyDescent="0.35">
      <c r="A489" s="1">
        <v>0.58333333333333337</v>
      </c>
      <c r="B489">
        <v>48</v>
      </c>
      <c r="C489">
        <v>1</v>
      </c>
      <c r="D489">
        <v>74</v>
      </c>
      <c r="E489" t="s">
        <v>13</v>
      </c>
      <c r="F489" t="s">
        <v>12</v>
      </c>
      <c r="G489" t="s">
        <v>10</v>
      </c>
    </row>
    <row r="490" spans="1:7" x14ac:dyDescent="0.35">
      <c r="A490" s="1">
        <v>0.60416666666666663</v>
      </c>
      <c r="B490">
        <v>10</v>
      </c>
      <c r="C490">
        <v>15</v>
      </c>
      <c r="D490">
        <v>69</v>
      </c>
      <c r="E490" t="s">
        <v>13</v>
      </c>
      <c r="F490" t="s">
        <v>12</v>
      </c>
      <c r="G490" t="s">
        <v>10</v>
      </c>
    </row>
    <row r="491" spans="1:7" x14ac:dyDescent="0.35">
      <c r="A491" s="1">
        <v>0.625</v>
      </c>
      <c r="B491">
        <v>12</v>
      </c>
      <c r="C491">
        <v>18</v>
      </c>
      <c r="D491">
        <v>63</v>
      </c>
      <c r="E491" t="s">
        <v>13</v>
      </c>
      <c r="F491" t="s">
        <v>12</v>
      </c>
      <c r="G491" t="s">
        <v>10</v>
      </c>
    </row>
    <row r="492" spans="1:7" x14ac:dyDescent="0.35">
      <c r="A492" s="1">
        <v>0.64583333333333337</v>
      </c>
      <c r="B492">
        <v>12</v>
      </c>
      <c r="C492">
        <v>14</v>
      </c>
      <c r="D492">
        <v>61</v>
      </c>
      <c r="E492" t="s">
        <v>13</v>
      </c>
      <c r="F492" t="s">
        <v>12</v>
      </c>
      <c r="G492" t="s">
        <v>10</v>
      </c>
    </row>
    <row r="493" spans="1:7" x14ac:dyDescent="0.35">
      <c r="A493" s="1">
        <v>0.66666666666666663</v>
      </c>
      <c r="B493">
        <v>41</v>
      </c>
      <c r="C493">
        <v>11</v>
      </c>
      <c r="D493">
        <v>91</v>
      </c>
      <c r="E493" t="s">
        <v>13</v>
      </c>
      <c r="F493" t="s">
        <v>12</v>
      </c>
      <c r="G493" t="s">
        <v>10</v>
      </c>
    </row>
    <row r="494" spans="1:7" x14ac:dyDescent="0.35">
      <c r="A494" s="1">
        <v>0.6875</v>
      </c>
      <c r="B494">
        <v>21</v>
      </c>
      <c r="C494">
        <v>12</v>
      </c>
      <c r="D494">
        <v>100</v>
      </c>
      <c r="E494" t="s">
        <v>13</v>
      </c>
      <c r="F494" t="s">
        <v>12</v>
      </c>
      <c r="G494" t="s">
        <v>10</v>
      </c>
    </row>
    <row r="495" spans="1:7" x14ac:dyDescent="0.35">
      <c r="A495" s="1">
        <v>0.70833333333333337</v>
      </c>
      <c r="B495">
        <v>22</v>
      </c>
      <c r="C495">
        <v>5</v>
      </c>
      <c r="D495">
        <v>117</v>
      </c>
      <c r="E495" t="s">
        <v>13</v>
      </c>
      <c r="F495" t="s">
        <v>12</v>
      </c>
      <c r="G495" t="s">
        <v>10</v>
      </c>
    </row>
    <row r="496" spans="1:7" x14ac:dyDescent="0.35">
      <c r="A496" s="1">
        <v>0.72916666666666663</v>
      </c>
      <c r="B496">
        <v>17</v>
      </c>
      <c r="C496">
        <v>27</v>
      </c>
      <c r="D496">
        <v>107</v>
      </c>
      <c r="E496" t="s">
        <v>13</v>
      </c>
      <c r="F496" t="s">
        <v>12</v>
      </c>
      <c r="G496" t="s">
        <v>10</v>
      </c>
    </row>
    <row r="497" spans="1:7" x14ac:dyDescent="0.35">
      <c r="A497" s="1">
        <v>0.75</v>
      </c>
      <c r="B497">
        <v>66</v>
      </c>
      <c r="C497">
        <v>17</v>
      </c>
      <c r="D497">
        <v>156</v>
      </c>
      <c r="E497" t="s">
        <v>13</v>
      </c>
      <c r="F497" t="s">
        <v>12</v>
      </c>
      <c r="G497" t="s">
        <v>10</v>
      </c>
    </row>
    <row r="498" spans="1:7" x14ac:dyDescent="0.35">
      <c r="A498" s="1">
        <v>0.77083333333333337</v>
      </c>
      <c r="B498">
        <v>43</v>
      </c>
      <c r="C498">
        <v>46</v>
      </c>
      <c r="D498">
        <v>153</v>
      </c>
      <c r="E498" t="s">
        <v>13</v>
      </c>
      <c r="F498" t="s">
        <v>12</v>
      </c>
      <c r="G498" t="s">
        <v>10</v>
      </c>
    </row>
    <row r="499" spans="1:7" x14ac:dyDescent="0.35">
      <c r="A499" s="1">
        <v>0.79166666666666663</v>
      </c>
      <c r="B499">
        <v>86</v>
      </c>
      <c r="C499">
        <v>27</v>
      </c>
      <c r="D499">
        <v>212</v>
      </c>
      <c r="E499" t="s">
        <v>13</v>
      </c>
      <c r="F499" t="s">
        <v>12</v>
      </c>
      <c r="G499" t="s">
        <v>10</v>
      </c>
    </row>
    <row r="500" spans="1:7" x14ac:dyDescent="0.35">
      <c r="A500" s="1">
        <v>0.8125</v>
      </c>
      <c r="B500">
        <v>65</v>
      </c>
      <c r="C500">
        <v>45</v>
      </c>
      <c r="D500">
        <v>232</v>
      </c>
      <c r="E500" t="s">
        <v>13</v>
      </c>
      <c r="F500" t="s">
        <v>12</v>
      </c>
      <c r="G500" t="s">
        <v>10</v>
      </c>
    </row>
    <row r="501" spans="1:7" x14ac:dyDescent="0.35">
      <c r="A501" s="1">
        <v>0.83333333333333337</v>
      </c>
      <c r="B501">
        <v>41</v>
      </c>
      <c r="C501">
        <v>36</v>
      </c>
      <c r="D501">
        <v>237</v>
      </c>
      <c r="E501" t="s">
        <v>13</v>
      </c>
      <c r="F501" t="s">
        <v>12</v>
      </c>
      <c r="G501" t="s">
        <v>10</v>
      </c>
    </row>
    <row r="502" spans="1:7" x14ac:dyDescent="0.35">
      <c r="A502" s="1">
        <v>0.85416666666666696</v>
      </c>
      <c r="B502">
        <v>48</v>
      </c>
      <c r="C502">
        <v>63</v>
      </c>
      <c r="D502">
        <v>222</v>
      </c>
      <c r="E502" t="s">
        <v>13</v>
      </c>
      <c r="F502" t="s">
        <v>12</v>
      </c>
      <c r="G502" t="s">
        <v>10</v>
      </c>
    </row>
    <row r="503" spans="1:7" x14ac:dyDescent="0.35">
      <c r="A503" s="1">
        <v>0.875</v>
      </c>
      <c r="B503">
        <v>19</v>
      </c>
      <c r="C503">
        <v>26</v>
      </c>
      <c r="D503">
        <v>215</v>
      </c>
      <c r="E503" t="s">
        <v>13</v>
      </c>
      <c r="F503" t="s">
        <v>12</v>
      </c>
      <c r="G503" t="s">
        <v>10</v>
      </c>
    </row>
    <row r="504" spans="1:7" x14ac:dyDescent="0.35">
      <c r="A504" s="1">
        <v>0.89583333333333304</v>
      </c>
      <c r="B504">
        <v>8</v>
      </c>
      <c r="C504">
        <v>96</v>
      </c>
      <c r="D504">
        <v>127</v>
      </c>
      <c r="E504" t="s">
        <v>13</v>
      </c>
      <c r="F504" t="s">
        <v>12</v>
      </c>
      <c r="G504" t="s">
        <v>10</v>
      </c>
    </row>
    <row r="505" spans="1:7" x14ac:dyDescent="0.35">
      <c r="A505" s="1">
        <v>0.91666666666666696</v>
      </c>
      <c r="B505">
        <v>28</v>
      </c>
      <c r="C505">
        <v>12</v>
      </c>
      <c r="D505">
        <v>143</v>
      </c>
      <c r="E505" t="s">
        <v>13</v>
      </c>
      <c r="F505" t="s">
        <v>12</v>
      </c>
      <c r="G505" t="s">
        <v>10</v>
      </c>
    </row>
    <row r="506" spans="1:7" x14ac:dyDescent="0.35">
      <c r="A506" s="1">
        <v>0.9375</v>
      </c>
      <c r="B506">
        <v>3</v>
      </c>
      <c r="C506">
        <v>65</v>
      </c>
      <c r="D506">
        <v>81</v>
      </c>
      <c r="E506" t="s">
        <v>13</v>
      </c>
      <c r="F506" t="s">
        <v>12</v>
      </c>
      <c r="G506" t="s">
        <v>10</v>
      </c>
    </row>
    <row r="507" spans="1:7" x14ac:dyDescent="0.35">
      <c r="A507" s="1">
        <v>0.95833333333333404</v>
      </c>
      <c r="B507">
        <v>1</v>
      </c>
      <c r="C507">
        <v>25</v>
      </c>
      <c r="D507">
        <v>57</v>
      </c>
      <c r="E507" t="s">
        <v>13</v>
      </c>
      <c r="F507" t="s">
        <v>12</v>
      </c>
      <c r="G507" t="s">
        <v>10</v>
      </c>
    </row>
    <row r="508" spans="1:7" x14ac:dyDescent="0.35">
      <c r="A508" s="1">
        <v>0.97916666666666696</v>
      </c>
      <c r="B508">
        <v>0</v>
      </c>
      <c r="C508">
        <v>32</v>
      </c>
      <c r="D508">
        <v>25</v>
      </c>
      <c r="E508" t="s">
        <v>13</v>
      </c>
      <c r="F508" t="s">
        <v>12</v>
      </c>
      <c r="G508" t="s">
        <v>10</v>
      </c>
    </row>
    <row r="509" spans="1:7" x14ac:dyDescent="0.35">
      <c r="A509" s="1">
        <v>1</v>
      </c>
      <c r="B509">
        <v>0</v>
      </c>
      <c r="C509">
        <v>17</v>
      </c>
      <c r="D509">
        <v>8</v>
      </c>
      <c r="E509" t="s">
        <v>13</v>
      </c>
      <c r="F509" t="s">
        <v>12</v>
      </c>
      <c r="G509" t="s">
        <v>10</v>
      </c>
    </row>
    <row r="510" spans="1:7" x14ac:dyDescent="0.35">
      <c r="A510" s="1">
        <v>1.0208333333333399</v>
      </c>
      <c r="B510">
        <v>0</v>
      </c>
      <c r="C510">
        <v>8</v>
      </c>
      <c r="D510">
        <v>0</v>
      </c>
      <c r="E510" t="s">
        <v>13</v>
      </c>
      <c r="F510" t="s">
        <v>12</v>
      </c>
      <c r="G510" t="s">
        <v>10</v>
      </c>
    </row>
    <row r="511" spans="1:7" x14ac:dyDescent="0.35">
      <c r="A511" s="1">
        <v>1.0416666666666701</v>
      </c>
      <c r="B511">
        <v>0</v>
      </c>
      <c r="C511">
        <v>0</v>
      </c>
      <c r="D511">
        <v>0</v>
      </c>
      <c r="E511" t="s">
        <v>13</v>
      </c>
      <c r="F511" t="s">
        <v>12</v>
      </c>
      <c r="G511" t="s">
        <v>10</v>
      </c>
    </row>
    <row r="512" spans="1:7" x14ac:dyDescent="0.35">
      <c r="A512" s="1">
        <v>1.0625</v>
      </c>
      <c r="B512">
        <v>0</v>
      </c>
      <c r="C512">
        <v>0</v>
      </c>
      <c r="D512">
        <v>0</v>
      </c>
      <c r="E512" t="s">
        <v>13</v>
      </c>
      <c r="F512" t="s">
        <v>12</v>
      </c>
      <c r="G512" t="s">
        <v>10</v>
      </c>
    </row>
    <row r="513" spans="1:7" x14ac:dyDescent="0.35">
      <c r="A513" s="1">
        <v>1.0833333333333399</v>
      </c>
      <c r="B513">
        <v>0</v>
      </c>
      <c r="C513">
        <v>0</v>
      </c>
      <c r="D513">
        <v>0</v>
      </c>
      <c r="E513" t="s">
        <v>13</v>
      </c>
      <c r="F513" t="s">
        <v>12</v>
      </c>
      <c r="G513" t="s">
        <v>10</v>
      </c>
    </row>
    <row r="514" spans="1:7" x14ac:dyDescent="0.35">
      <c r="A514" s="1">
        <v>1.1041666666666701</v>
      </c>
      <c r="B514">
        <v>0</v>
      </c>
      <c r="C514">
        <v>0</v>
      </c>
      <c r="D514">
        <v>0</v>
      </c>
      <c r="E514" t="s">
        <v>13</v>
      </c>
      <c r="F514" t="s">
        <v>12</v>
      </c>
      <c r="G514" t="s">
        <v>10</v>
      </c>
    </row>
    <row r="515" spans="1:7" x14ac:dyDescent="0.35">
      <c r="A515" s="1">
        <v>1.12500000000001</v>
      </c>
      <c r="B515">
        <v>0</v>
      </c>
      <c r="C515">
        <v>0</v>
      </c>
      <c r="D515">
        <v>0</v>
      </c>
      <c r="E515" t="s">
        <v>13</v>
      </c>
      <c r="F515" t="s">
        <v>12</v>
      </c>
      <c r="G515" t="s">
        <v>10</v>
      </c>
    </row>
    <row r="516" spans="1:7" x14ac:dyDescent="0.35">
      <c r="A516" s="1">
        <v>1.1458333333333399</v>
      </c>
      <c r="B516">
        <v>0</v>
      </c>
      <c r="C516">
        <v>0</v>
      </c>
      <c r="D516">
        <v>0</v>
      </c>
      <c r="E516" t="s">
        <v>13</v>
      </c>
      <c r="F516" t="s">
        <v>12</v>
      </c>
      <c r="G516" t="s">
        <v>10</v>
      </c>
    </row>
    <row r="517" spans="1:7" x14ac:dyDescent="0.35">
      <c r="A517" s="1">
        <v>1.1666666666666701</v>
      </c>
      <c r="B517">
        <v>0</v>
      </c>
      <c r="C517">
        <v>0</v>
      </c>
      <c r="D517">
        <v>0</v>
      </c>
      <c r="E517" t="s">
        <v>13</v>
      </c>
      <c r="F517" t="s">
        <v>12</v>
      </c>
      <c r="G51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F. Salidas</vt:lpstr>
      <vt:lpstr>F. Llegadas</vt:lpstr>
      <vt:lpstr>TD</vt:lpstr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González</dc:creator>
  <cp:lastModifiedBy>Luis González</cp:lastModifiedBy>
  <dcterms:created xsi:type="dcterms:W3CDTF">2015-06-05T18:17:20Z</dcterms:created>
  <dcterms:modified xsi:type="dcterms:W3CDTF">2026-01-06T20:21:04Z</dcterms:modified>
</cp:coreProperties>
</file>